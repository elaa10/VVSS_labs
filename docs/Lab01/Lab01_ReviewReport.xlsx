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Alexandra\Desktop\Facultate_anul_3\Semestrul2\VVSS\Laborator\MyDrinkShop\docs\Lab01\"/>
    </mc:Choice>
  </mc:AlternateContent>
  <xr:revisionPtr revIDLastSave="0" documentId="13_ncr:1_{19B1CE4C-5F0F-40B9-9996-9C7A9BE5CEEB}" xr6:coauthVersionLast="47" xr6:coauthVersionMax="47" xr10:uidLastSave="{00000000-0000-0000-0000-000000000000}"/>
  <bookViews>
    <workbookView xWindow="9324" yWindow="0" windowWidth="13812" windowHeight="13776" tabRatio="650" firstSheet="1" activeTab="2" xr2:uid="{00000000-000D-0000-FFFF-FFFF00000000}"/>
  </bookViews>
  <sheets>
    <sheet name="Requirements Phase Defects" sheetId="7" r:id="rId1"/>
    <sheet name="Architect. Design Phase Defects" sheetId="6" r:id="rId2"/>
    <sheet name="Coding Phase Defects" sheetId="5" r:id="rId3"/>
    <sheet name="Tool-basedCodeAnalysi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8" l="1"/>
  <c r="B12" i="8" s="1"/>
  <c r="B13" i="8" s="1"/>
  <c r="B14" i="8" s="1"/>
  <c r="B15" i="8" s="1"/>
  <c r="B16" i="8" s="1"/>
  <c r="B17" i="8" s="1"/>
  <c r="B18" i="8" s="1"/>
  <c r="B19" i="8" s="1"/>
  <c r="B20" i="8" s="1"/>
  <c r="B21" i="8" s="1"/>
  <c r="B22" i="8" s="1"/>
  <c r="B23" i="8" s="1"/>
  <c r="B24" i="8" s="1"/>
  <c r="B25" i="8" s="1"/>
  <c r="B26" i="8" s="1"/>
  <c r="B27" i="8" s="1"/>
  <c r="B28" i="8" s="1"/>
  <c r="B29" i="8" s="1"/>
  <c r="B30" i="8" s="1"/>
  <c r="B11" i="7" l="1"/>
  <c r="B12" i="7"/>
  <c r="B13" i="7" s="1"/>
  <c r="B14" i="7" s="1"/>
  <c r="B15" i="7" s="1"/>
  <c r="B16" i="7" s="1"/>
  <c r="B17" i="7" s="1"/>
  <c r="B18" i="7" s="1"/>
  <c r="B19" i="7" s="1"/>
  <c r="B20" i="7" s="1"/>
  <c r="B21" i="7" s="1"/>
  <c r="B22" i="7" s="1"/>
  <c r="B23" i="7" s="1"/>
  <c r="B24" i="7" s="1"/>
  <c r="B25" i="7" s="1"/>
  <c r="B11" i="6"/>
  <c r="B12" i="6" s="1"/>
  <c r="B13" i="6" s="1"/>
  <c r="B14" i="6" s="1"/>
  <c r="B15" i="6" s="1"/>
  <c r="B16" i="6" s="1"/>
  <c r="B17" i="6" s="1"/>
  <c r="B18" i="6" s="1"/>
  <c r="B19" i="6" s="1"/>
  <c r="B20" i="6" s="1"/>
  <c r="B21" i="6" s="1"/>
  <c r="B22" i="6" s="1"/>
  <c r="B23" i="6" s="1"/>
  <c r="B24" i="6" s="1"/>
  <c r="B25" i="6" s="1"/>
  <c r="B26" i="6" s="1"/>
  <c r="B11" i="5"/>
  <c r="B12" i="5" s="1"/>
  <c r="B13" i="5" s="1"/>
  <c r="B14" i="5" s="1"/>
  <c r="B15" i="5" s="1"/>
  <c r="B16" i="5" s="1"/>
  <c r="B17" i="5" s="1"/>
  <c r="B18" i="5" s="1"/>
  <c r="B19" i="5" s="1"/>
  <c r="B20" i="5" s="1"/>
  <c r="B21" i="5" s="1"/>
  <c r="B22" i="5" s="1"/>
  <c r="B23" i="5" s="1"/>
  <c r="B24" i="5" s="1"/>
  <c r="B25" i="5" s="1"/>
  <c r="B26" i="5" s="1"/>
  <c r="B27" i="5" s="1"/>
  <c r="B28" i="5" s="1"/>
  <c r="B29" i="5" s="1"/>
  <c r="B30" i="5" s="1"/>
</calcChain>
</file>

<file path=xl/sharedStrings.xml><?xml version="1.0" encoding="utf-8"?>
<sst xmlns="http://schemas.openxmlformats.org/spreadsheetml/2006/main" count="194" uniqueCount="115">
  <si>
    <t>Document  Title:</t>
  </si>
  <si>
    <t xml:space="preserve">Review date: </t>
  </si>
  <si>
    <t>Reviewer Name:</t>
  </si>
  <si>
    <t>do not print this form</t>
  </si>
  <si>
    <t>Crt. No.</t>
  </si>
  <si>
    <t>Checked Item</t>
  </si>
  <si>
    <t>Doc. page/line</t>
  </si>
  <si>
    <t>Comments/ improvements</t>
  </si>
  <si>
    <t>Effort to review document (hours):</t>
  </si>
  <si>
    <t>Author Name:</t>
  </si>
  <si>
    <t xml:space="preserve">Author Name: </t>
  </si>
  <si>
    <t>Requirements Document</t>
  </si>
  <si>
    <t>Architectural Design Document</t>
  </si>
  <si>
    <t>Coding Document</t>
  </si>
  <si>
    <t>Review Form. Coding Defects</t>
  </si>
  <si>
    <t>Review Form. Architectural Design Defects</t>
  </si>
  <si>
    <t>Review Form. Requirements Defects</t>
  </si>
  <si>
    <t>Student 1:</t>
  </si>
  <si>
    <t>Student 2:</t>
  </si>
  <si>
    <t>Student 3:</t>
  </si>
  <si>
    <t>Echipa</t>
  </si>
  <si>
    <t>Grupa</t>
  </si>
  <si>
    <t>Tool used:</t>
  </si>
  <si>
    <t>Before</t>
  </si>
  <si>
    <t>Issue</t>
  </si>
  <si>
    <t>File, Line</t>
  </si>
  <si>
    <t>After/Argument</t>
  </si>
  <si>
    <t>Numele si prenumele</t>
  </si>
  <si>
    <t>Tool-based Code Analysis</t>
  </si>
  <si>
    <t>Effort to perform tool-based code analysis (hours):</t>
  </si>
  <si>
    <t>Toda-Puiuleț Emanuela-Coralia</t>
  </si>
  <si>
    <t>Trifan Alexandra-Isabela</t>
  </si>
  <si>
    <t>14.03.2026</t>
  </si>
  <si>
    <t>R01</t>
  </si>
  <si>
    <t>R02</t>
  </si>
  <si>
    <t>R03</t>
  </si>
  <si>
    <t>R04</t>
  </si>
  <si>
    <t>R05</t>
  </si>
  <si>
    <t>R06</t>
  </si>
  <si>
    <t>R07</t>
  </si>
  <si>
    <t>The requirements are incomplete because they do not specify the system's behavior in case of errors, for example, what should happen if the category and the type of a drink are not provided when adding a new product.</t>
  </si>
  <si>
    <t>Functional requirements detailing data validation criteria for user inputs (e.g., product quantities must be strictly positive) are missing.</t>
  </si>
  <si>
    <t>N/A. The existing requirements are not contradictory or incorrect, just lacking in specific details regarding edge cases.</t>
  </si>
  <si>
    <t>The initialization of the system state is not considered; it is not specified how the database (text files) should be initialized on the first application run.</t>
  </si>
  <si>
    <t>N/A. The core functionalities (CRUD operations, receipt generation) are adequately defined.</t>
  </si>
  <si>
    <t>N/A. The non-functional requirements clearly specify the technological environment (JavaFX, Maven, text files).</t>
  </si>
  <si>
    <t>N/A. The user's needs regarding the management of products, recipes, and orders are clearly stated in the description.</t>
  </si>
  <si>
    <t>0.5 (30 minutes)</t>
  </si>
  <si>
    <t>A01</t>
  </si>
  <si>
    <t>A04</t>
  </si>
  <si>
    <t>A05</t>
  </si>
  <si>
    <t>A06</t>
  </si>
  <si>
    <t>A08</t>
  </si>
  <si>
    <t>Requirements_MyDrinkShop.png_1.1.png</t>
  </si>
  <si>
    <t>Yes, the overall architecture is clear and well-organized, cleanly separating the domain model, business logic, data access, and UI.</t>
  </si>
  <si>
    <t>Yes, the classes in the Service layer properly expose the necessary operations for the UI Controllers.</t>
  </si>
  <si>
    <t>The architecture lacks a coherent and clearly defined error handling strategy to propagate validation or database exceptions to the UI layer.</t>
  </si>
  <si>
    <t>The architecture correctly incorporates classic design patterns, such as the Repository pattern for data access.</t>
  </si>
  <si>
    <t>Requirements_MyDrinkShop-ClassesOnly_1.0.png</t>
  </si>
  <si>
    <t>15.03.2026</t>
  </si>
  <si>
    <t>The responsibility for calculating the total price is not clearly delimited, with overlapping logic and responsibilities present in both the Order entity class and the OrderService class.</t>
  </si>
  <si>
    <t>RequirementsMyDrinkShop_1.0.pdf, page 1</t>
  </si>
  <si>
    <t>C01</t>
  </si>
  <si>
    <t>C08</t>
  </si>
  <si>
    <t>C09</t>
  </si>
  <si>
    <t>C011</t>
  </si>
  <si>
    <t>The decision logic for maintaining the totalPrice attribute in the Order class is inadequate because adding or removing an item (addItem / removeItem) does not automatically update the total price, leaving the object in an inconsistent state.</t>
  </si>
  <si>
    <t>In OrderService.computeTotal, there is an inefficient use of parameters and redundant data fetching; it fetches the product again from productRepo using the ID instead of delegating the calculation to the domain model.</t>
  </si>
  <si>
    <t>The Order.java class contains duplicate methods (getTotal() vs getTotalPrice()), which causes confusion regarding naming conventions and method usage.</t>
  </si>
  <si>
    <t>While validation exceptions are correctly thrown by the Validator, the error message processing in the UI is inadequate. The exceptions crash in the JavaFX thread and are only printed to the IDE console, instead of being caught and properly displayed to the user via a GUI Alert.</t>
  </si>
  <si>
    <t>src/main/java/drinkshop/domain/Order.java</t>
  </si>
  <si>
    <t>src/main/java/drinkshop/ui/DrinkShopController.java</t>
  </si>
  <si>
    <t>src/main/java/drinkshop/service/OrderService.java</t>
  </si>
  <si>
    <t>pom.xml</t>
  </si>
  <si>
    <t>javafx-controls is duplicated, with different versions (21 and 22.0.1)</t>
  </si>
  <si>
    <t>src/main/java/drinkshop/service/StocService.java</t>
  </si>
  <si>
    <t>Whilst calculating the value of variable "deScazut",  which is a double variable, the source code casts it to int</t>
  </si>
  <si>
    <t xml:space="preserve">The import of java.util.Map is not used </t>
  </si>
  <si>
    <t>src/main/java/drinkshop/service/validator/RetetaValidator.java</t>
  </si>
  <si>
    <t xml:space="preserve"> AtomicReference&lt;String&gt; is used out of purpose, there is no concurrent context </t>
  </si>
  <si>
    <t xml:space="preserve">Possible NullPointerException: of variable "ingrediente" is null, the code enters the stream() and throws and error </t>
  </si>
  <si>
    <t>src/main/java/drinkshop/reports/DailyReportService.java</t>
  </si>
  <si>
    <t xml:space="preserve">Imports of List, Collectors, and StreamSupport are unused </t>
  </si>
  <si>
    <t xml:space="preserve">The standard requires use of !isEmpthy() instead of size()&gt; </t>
  </si>
  <si>
    <t>src/test/java/drinkshop/domain/ProductTest.java</t>
  </si>
  <si>
    <t>The standard requires the use of assertEquals and assertNotNull</t>
  </si>
  <si>
    <t>Emanuela-Coralia Toda-Puiulet</t>
  </si>
  <si>
    <t>src/main/java/drinkshop/repository/AbstractRepository.java</t>
  </si>
  <si>
    <t>update() is identical to save()</t>
  </si>
  <si>
    <t xml:space="preserve"> @Override
    public E save(E entity) {
        entities.put(getId(entity), entity);
        return entity;
    }
    @Override
    public E delete(ID id) {
        return entities.remove(id);
    }
    @Override
    public E update(E entity) {
        entities.put(getId(entity), entity);
        return entity;
    }</t>
  </si>
  <si>
    <t>update() should verify the entity exists first. If it doesn't, it should signal that (return null, throw, etc.). Having two methods with identical bodies is misleading and violates the principle of least surprise. A defensive check makes the contract clear: save creates, update modifies.</t>
  </si>
  <si>
    <t>&lt;ID, E&gt; — ID is two uppercase letters, which violates the convention.</t>
  </si>
  <si>
    <t xml:space="preserve">Java convention (and Sonar rule java:S119) expects single-letter type parameters optionally followed by a digit. Multi-letter names like ID look like class names and reduce readability in generic contexts
</t>
  </si>
  <si>
    <t>Generic type p
arameter names don't match ^[A-Z][0-9]?$</t>
  </si>
  <si>
    <t xml:space="preserve"> Unnecessary cast to List in findAll()
</t>
  </si>
  <si>
    <t>return (List&lt;E&gt;) entities.values();</t>
  </si>
  <si>
    <t xml:space="preserve"> return StreamSupport.stream(entities.values().spliterator(), false).toList();
</t>
  </si>
  <si>
    <t>Commented-out code block</t>
  </si>
  <si>
    <t xml:space="preserve">//                    .collect(Collectors.toList());
// return (List&lt;E&gt;) entities.values();
</t>
  </si>
  <si>
    <t xml:space="preserve">Dead/commented-out code is technical debt — it confuses future readers about intent, clutters diffs, and is better preserved in version control history if needed.
</t>
  </si>
  <si>
    <t>src/main/java/drinkshop/repository/file/FileAbstractRepository.java</t>
  </si>
  <si>
    <t>Constructor visibility should be protected</t>
  </si>
  <si>
    <t>public FileAbstractRepository(String fileName)</t>
  </si>
  <si>
    <t>This is an abstract class — it can't be instantiated directly. A public constructor is misleading since only subclasses call it. Making it protected accurately reflects its intended usage.</t>
  </si>
  <si>
    <t>Generic name ID doesn't match ^[A-Z][0-9]?$</t>
  </si>
  <si>
    <t>&lt;ID, E&gt;</t>
  </si>
  <si>
    <t>ID → K to match convention and stay consistent with the fixed AbstractRepository&lt;K, E&gt;</t>
  </si>
  <si>
    <t>Commented-out code</t>
  </si>
  <si>
    <t>//loadFromFile()</t>
  </si>
  <si>
    <t>Dead/commented-out code is technical debt — it confuses future readers about intent, clutters diffs, and is better preserved in version control history if needed.</t>
  </si>
  <si>
    <t>C012</t>
  </si>
  <si>
    <t>C05</t>
  </si>
  <si>
    <t>C04</t>
  </si>
  <si>
    <t>Trifan Alexandra-Isabela, Emanuela-Coralia Toda-Puiulet</t>
  </si>
  <si>
    <t>SonarQube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</si>
</sst>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sz val="12"/>
      <color rgb="FF000080"/>
      <name val="Calibri"/>
      <family val="2"/>
      <scheme val="minor"/>
    </font>
    <font>
      <i/>
      <sz val="9"/>
      <color rgb="FFC00000"/>
      <name val="Calibri"/>
      <family val="2"/>
      <scheme val="minor"/>
    </font>
    <font>
      <b/>
      <i/>
      <sz val="11"/>
      <color theme="1"/>
      <name val="Calibri"/>
      <family val="2"/>
      <scheme val="minor"/>
    </font>
    <font>
      <sz val="8"/>
      <name val="Calibri"/>
      <family val="2"/>
      <charset val="238"/>
      <scheme val="minor"/>
    </font>
    <font>
      <sz val="10.5"/>
      <color rgb="FFBCBEC4"/>
      <name val="JetBrains Mono"/>
      <family val="3"/>
    </font>
    <font>
      <sz val="10.5"/>
      <color rgb="FFB3AE60"/>
      <name val="JetBrains Mono"/>
      <family val="3"/>
    </font>
    <font>
      <sz val="10.5"/>
      <color rgb="FFCF8E6D"/>
      <name val="JetBrains Mono"/>
      <family val="3"/>
    </font>
    <font>
      <sz val="10.5"/>
      <color theme="1"/>
      <name val="JetBrains Mono"/>
      <family val="3"/>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0">
    <xf numFmtId="0" fontId="0" fillId="0" borderId="0" xfId="0"/>
    <xf numFmtId="0" fontId="8" fillId="0" borderId="1" xfId="0" applyFont="1" applyBorder="1"/>
    <xf numFmtId="0" fontId="8" fillId="0" borderId="1" xfId="0" applyFont="1" applyBorder="1" applyAlignment="1">
      <alignment wrapText="1"/>
    </xf>
    <xf numFmtId="0" fontId="6" fillId="0" borderId="1" xfId="0" applyFont="1" applyBorder="1"/>
    <xf numFmtId="0" fontId="9" fillId="0" borderId="0" xfId="0" applyFont="1"/>
    <xf numFmtId="0" fontId="10" fillId="0" borderId="0" xfId="0" applyFont="1"/>
    <xf numFmtId="0" fontId="6" fillId="0" borderId="0" xfId="0" applyFont="1"/>
    <xf numFmtId="0" fontId="7"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horizontal="center" vertical="center"/>
    </xf>
    <xf numFmtId="0" fontId="7" fillId="0" borderId="2" xfId="0" applyFont="1" applyBorder="1"/>
    <xf numFmtId="0" fontId="7" fillId="0" borderId="3" xfId="0" applyFont="1" applyBorder="1"/>
    <xf numFmtId="0" fontId="7" fillId="2" borderId="1" xfId="0" applyFont="1" applyFill="1" applyBorder="1"/>
    <xf numFmtId="0" fontId="7" fillId="0" borderId="1" xfId="0" applyFont="1" applyBorder="1" applyAlignment="1">
      <alignment horizontal="center" vertical="center" wrapText="1"/>
    </xf>
    <xf numFmtId="0" fontId="6" fillId="0" borderId="1" xfId="0" applyFont="1" applyBorder="1" applyAlignment="1">
      <alignment wrapText="1"/>
    </xf>
    <xf numFmtId="0" fontId="7" fillId="4" borderId="1" xfId="0" applyFont="1" applyFill="1" applyBorder="1"/>
    <xf numFmtId="0" fontId="5" fillId="0" borderId="1" xfId="0" applyFont="1" applyBorder="1"/>
    <xf numFmtId="0" fontId="8" fillId="0" borderId="0" xfId="0" applyFont="1"/>
    <xf numFmtId="0" fontId="4" fillId="0" borderId="1" xfId="0" applyFont="1" applyBorder="1"/>
    <xf numFmtId="0" fontId="3" fillId="0" borderId="0" xfId="0" applyFont="1"/>
    <xf numFmtId="0" fontId="2" fillId="0" borderId="0" xfId="0" applyFont="1"/>
    <xf numFmtId="0" fontId="1" fillId="0" borderId="1" xfId="0" applyFont="1" applyBorder="1"/>
    <xf numFmtId="0" fontId="0" fillId="0" borderId="0" xfId="0" applyAlignment="1">
      <alignment vertical="center"/>
    </xf>
    <xf numFmtId="0" fontId="14" fillId="0" borderId="0" xfId="0" applyFont="1" applyAlignment="1">
      <alignment vertical="center"/>
    </xf>
    <xf numFmtId="0" fontId="15" fillId="0" borderId="0" xfId="0" applyFont="1" applyAlignment="1">
      <alignment vertical="center"/>
    </xf>
    <xf numFmtId="0" fontId="13" fillId="0" borderId="0" xfId="0" applyFont="1" applyAlignment="1">
      <alignment vertical="center"/>
    </xf>
    <xf numFmtId="0" fontId="16"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7" fillId="0" borderId="5" xfId="0" applyFont="1" applyBorder="1" applyAlignment="1">
      <alignment horizontal="left"/>
    </xf>
    <xf numFmtId="0" fontId="7" fillId="0" borderId="0" xfId="0" applyFont="1" applyAlignment="1">
      <alignment horizontal="left"/>
    </xf>
    <xf numFmtId="0" fontId="5" fillId="0" borderId="1" xfId="0" applyFont="1" applyBorder="1" applyAlignment="1">
      <alignment horizontal="center"/>
    </xf>
    <xf numFmtId="0" fontId="7" fillId="0" borderId="0" xfId="0" applyFont="1" applyAlignment="1">
      <alignment horizontal="center"/>
    </xf>
    <xf numFmtId="0" fontId="7" fillId="4" borderId="1" xfId="0" applyFont="1" applyFill="1" applyBorder="1" applyAlignment="1">
      <alignment horizontal="right"/>
    </xf>
    <xf numFmtId="0" fontId="7" fillId="0" borderId="1" xfId="0" applyFont="1" applyBorder="1" applyAlignment="1">
      <alignment horizontal="right"/>
    </xf>
    <xf numFmtId="0" fontId="7" fillId="2" borderId="1" xfId="0" applyFont="1" applyFill="1" applyBorder="1" applyAlignment="1">
      <alignment horizontal="right"/>
    </xf>
    <xf numFmtId="0" fontId="11" fillId="2" borderId="2" xfId="0" applyFont="1" applyFill="1" applyBorder="1" applyAlignment="1">
      <alignment horizontal="right"/>
    </xf>
    <xf numFmtId="0" fontId="11" fillId="2" borderId="4" xfId="0" applyFont="1" applyFill="1" applyBorder="1" applyAlignment="1">
      <alignment horizontal="right"/>
    </xf>
    <xf numFmtId="0" fontId="7" fillId="3" borderId="1" xfId="0"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J27"/>
  <sheetViews>
    <sheetView topLeftCell="A3" workbookViewId="0">
      <selection activeCell="H12" sqref="H12"/>
    </sheetView>
  </sheetViews>
  <sheetFormatPr defaultColWidth="8.88671875" defaultRowHeight="14.4"/>
  <cols>
    <col min="1" max="1" width="8.88671875" style="6"/>
    <col min="2" max="2" width="12.21875" style="6" customWidth="1"/>
    <col min="3" max="3" width="16.21875" style="6" customWidth="1"/>
    <col min="4" max="4" width="36.77734375" style="6" customWidth="1"/>
    <col min="5" max="5" width="41.44140625" style="6" customWidth="1"/>
    <col min="6" max="8" width="8.88671875" style="6"/>
    <col min="9" max="9" width="21" style="6" customWidth="1"/>
    <col min="10" max="10" width="14.44140625" style="6" customWidth="1"/>
    <col min="11" max="16384" width="8.88671875" style="6"/>
  </cols>
  <sheetData>
    <row r="1" spans="1:10" ht="15.6">
      <c r="A1" s="4"/>
      <c r="B1" s="5" t="s">
        <v>3</v>
      </c>
      <c r="H1" s="32" t="s">
        <v>20</v>
      </c>
      <c r="I1" s="32"/>
      <c r="J1" s="32"/>
    </row>
    <row r="2" spans="1:10">
      <c r="B2" s="33" t="s">
        <v>16</v>
      </c>
      <c r="C2" s="33"/>
      <c r="D2" s="33"/>
      <c r="E2" s="33"/>
      <c r="H2" s="3"/>
      <c r="I2" s="19" t="s">
        <v>27</v>
      </c>
      <c r="J2" s="17" t="s">
        <v>21</v>
      </c>
    </row>
    <row r="3" spans="1:10">
      <c r="H3" s="17" t="s">
        <v>17</v>
      </c>
      <c r="I3" s="22" t="s">
        <v>30</v>
      </c>
      <c r="J3" s="17">
        <v>237</v>
      </c>
    </row>
    <row r="4" spans="1:10">
      <c r="C4" s="13" t="s">
        <v>0</v>
      </c>
      <c r="D4" s="36" t="s">
        <v>11</v>
      </c>
      <c r="E4" s="36"/>
      <c r="H4" s="17" t="s">
        <v>18</v>
      </c>
      <c r="I4" s="22" t="s">
        <v>31</v>
      </c>
      <c r="J4" s="3">
        <v>237</v>
      </c>
    </row>
    <row r="5" spans="1:10">
      <c r="C5" s="13" t="s">
        <v>9</v>
      </c>
      <c r="D5" s="37" t="s">
        <v>31</v>
      </c>
      <c r="E5" s="38"/>
      <c r="H5" s="17" t="s">
        <v>19</v>
      </c>
      <c r="I5" s="3"/>
      <c r="J5" s="3"/>
    </row>
    <row r="6" spans="1:10">
      <c r="B6" s="8"/>
      <c r="C6" s="9" t="s">
        <v>2</v>
      </c>
      <c r="D6" s="35" t="s">
        <v>31</v>
      </c>
      <c r="E6" s="35"/>
    </row>
    <row r="7" spans="1:10">
      <c r="C7" s="9" t="s">
        <v>1</v>
      </c>
      <c r="D7" s="35" t="s">
        <v>32</v>
      </c>
      <c r="E7" s="35"/>
    </row>
    <row r="9" spans="1:10">
      <c r="B9" s="10" t="s">
        <v>4</v>
      </c>
      <c r="C9" s="10" t="s">
        <v>5</v>
      </c>
      <c r="D9" s="10" t="s">
        <v>6</v>
      </c>
      <c r="E9" s="14" t="s">
        <v>7</v>
      </c>
    </row>
    <row r="10" spans="1:10" ht="72">
      <c r="B10" s="3">
        <v>1</v>
      </c>
      <c r="C10" s="1" t="s">
        <v>33</v>
      </c>
      <c r="D10" s="1" t="s">
        <v>61</v>
      </c>
      <c r="E10" s="2" t="s">
        <v>40</v>
      </c>
    </row>
    <row r="11" spans="1:10" ht="43.2">
      <c r="B11" s="3">
        <f>B10+1</f>
        <v>2</v>
      </c>
      <c r="C11" s="1" t="s">
        <v>34</v>
      </c>
      <c r="D11" s="1" t="s">
        <v>61</v>
      </c>
      <c r="E11" s="2" t="s">
        <v>41</v>
      </c>
    </row>
    <row r="12" spans="1:10" ht="43.2">
      <c r="B12" s="3">
        <f t="shared" ref="B12:B25" si="0">B11+1</f>
        <v>3</v>
      </c>
      <c r="C12" s="1" t="s">
        <v>35</v>
      </c>
      <c r="D12" s="1" t="s">
        <v>61</v>
      </c>
      <c r="E12" s="2" t="s">
        <v>42</v>
      </c>
    </row>
    <row r="13" spans="1:10" ht="57.6">
      <c r="B13" s="3">
        <f t="shared" si="0"/>
        <v>4</v>
      </c>
      <c r="C13" s="1" t="s">
        <v>36</v>
      </c>
      <c r="D13" s="1" t="s">
        <v>61</v>
      </c>
      <c r="E13" s="2" t="s">
        <v>43</v>
      </c>
    </row>
    <row r="14" spans="1:10" ht="28.8">
      <c r="B14" s="3">
        <f t="shared" si="0"/>
        <v>5</v>
      </c>
      <c r="C14" s="1" t="s">
        <v>37</v>
      </c>
      <c r="D14" s="1" t="s">
        <v>61</v>
      </c>
      <c r="E14" s="2" t="s">
        <v>44</v>
      </c>
    </row>
    <row r="15" spans="1:10" ht="43.2">
      <c r="B15" s="3">
        <f t="shared" si="0"/>
        <v>6</v>
      </c>
      <c r="C15" s="1" t="s">
        <v>38</v>
      </c>
      <c r="D15" s="1" t="s">
        <v>61</v>
      </c>
      <c r="E15" s="2" t="s">
        <v>46</v>
      </c>
    </row>
    <row r="16" spans="1:10" ht="43.2">
      <c r="B16" s="3">
        <f t="shared" si="0"/>
        <v>7</v>
      </c>
      <c r="C16" s="1" t="s">
        <v>39</v>
      </c>
      <c r="D16" s="1" t="s">
        <v>61</v>
      </c>
      <c r="E16" s="2" t="s">
        <v>45</v>
      </c>
    </row>
    <row r="17" spans="2:5">
      <c r="B17" s="3">
        <f t="shared" si="0"/>
        <v>8</v>
      </c>
      <c r="C17" s="1"/>
      <c r="D17" s="1"/>
      <c r="E17" s="2"/>
    </row>
    <row r="18" spans="2:5">
      <c r="B18" s="3">
        <f t="shared" si="0"/>
        <v>9</v>
      </c>
      <c r="C18" s="3"/>
      <c r="D18" s="3"/>
      <c r="E18" s="15"/>
    </row>
    <row r="19" spans="2:5">
      <c r="B19" s="3">
        <f t="shared" si="0"/>
        <v>10</v>
      </c>
      <c r="C19" s="3"/>
      <c r="D19" s="3"/>
      <c r="E19" s="15"/>
    </row>
    <row r="20" spans="2:5">
      <c r="B20" s="3">
        <f t="shared" si="0"/>
        <v>11</v>
      </c>
      <c r="C20" s="3"/>
      <c r="D20" s="3"/>
      <c r="E20" s="15"/>
    </row>
    <row r="21" spans="2:5">
      <c r="B21" s="3">
        <f t="shared" si="0"/>
        <v>12</v>
      </c>
      <c r="C21" s="3"/>
      <c r="D21" s="3"/>
      <c r="E21" s="15"/>
    </row>
    <row r="22" spans="2:5">
      <c r="B22" s="3">
        <f t="shared" si="0"/>
        <v>13</v>
      </c>
      <c r="C22" s="3"/>
      <c r="D22" s="3"/>
      <c r="E22" s="15"/>
    </row>
    <row r="23" spans="2:5">
      <c r="B23" s="3">
        <f t="shared" si="0"/>
        <v>14</v>
      </c>
      <c r="C23" s="3"/>
      <c r="D23" s="3"/>
      <c r="E23" s="15"/>
    </row>
    <row r="24" spans="2:5">
      <c r="B24" s="3">
        <f t="shared" si="0"/>
        <v>15</v>
      </c>
      <c r="C24" s="3"/>
      <c r="D24" s="3"/>
      <c r="E24" s="15"/>
    </row>
    <row r="25" spans="2:5">
      <c r="B25" s="3">
        <f t="shared" si="0"/>
        <v>16</v>
      </c>
      <c r="C25" s="3"/>
      <c r="D25" s="3"/>
      <c r="E25" s="15"/>
    </row>
    <row r="27" spans="2:5">
      <c r="C27" s="11" t="s">
        <v>8</v>
      </c>
      <c r="D27" s="12"/>
      <c r="E27" s="1" t="s">
        <v>47</v>
      </c>
    </row>
  </sheetData>
  <mergeCells count="6">
    <mergeCell ref="D7:E7"/>
    <mergeCell ref="H1:J1"/>
    <mergeCell ref="B2:E2"/>
    <mergeCell ref="D4:E4"/>
    <mergeCell ref="D6:E6"/>
    <mergeCell ref="D5:E5"/>
  </mergeCells>
  <phoneticPr fontId="1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28"/>
  <sheetViews>
    <sheetView workbookViewId="0">
      <selection activeCell="E28" sqref="E28"/>
    </sheetView>
  </sheetViews>
  <sheetFormatPr defaultColWidth="8.88671875" defaultRowHeight="14.4"/>
  <cols>
    <col min="1" max="1" width="8.88671875" style="6"/>
    <col min="2" max="2" width="12.21875" style="6" customWidth="1"/>
    <col min="3" max="3" width="16.21875" style="6" customWidth="1"/>
    <col min="4" max="4" width="20.88671875" style="6" customWidth="1"/>
    <col min="5" max="5" width="41.44140625" style="6" customWidth="1"/>
    <col min="6" max="8" width="8.88671875" style="6"/>
    <col min="9" max="9" width="22.109375" style="6" customWidth="1"/>
    <col min="10" max="16384" width="8.88671875" style="6"/>
  </cols>
  <sheetData>
    <row r="1" spans="1:10" ht="15.6">
      <c r="A1" s="4"/>
      <c r="B1" s="5" t="s">
        <v>3</v>
      </c>
      <c r="H1" s="32" t="s">
        <v>20</v>
      </c>
      <c r="I1" s="32"/>
      <c r="J1" s="32"/>
    </row>
    <row r="2" spans="1:10">
      <c r="B2" s="33" t="s">
        <v>15</v>
      </c>
      <c r="C2" s="33"/>
      <c r="D2" s="33"/>
      <c r="E2" s="33"/>
      <c r="H2" s="3"/>
      <c r="I2" s="19" t="s">
        <v>27</v>
      </c>
      <c r="J2" s="17" t="s">
        <v>21</v>
      </c>
    </row>
    <row r="3" spans="1:10">
      <c r="H3" s="17" t="s">
        <v>17</v>
      </c>
      <c r="I3" s="22" t="s">
        <v>30</v>
      </c>
      <c r="J3" s="17">
        <v>237</v>
      </c>
    </row>
    <row r="4" spans="1:10">
      <c r="C4" s="7" t="s">
        <v>0</v>
      </c>
      <c r="D4" s="39" t="s">
        <v>12</v>
      </c>
      <c r="E4" s="39"/>
      <c r="H4" s="17" t="s">
        <v>18</v>
      </c>
      <c r="I4" s="22" t="s">
        <v>31</v>
      </c>
      <c r="J4" s="3">
        <v>237</v>
      </c>
    </row>
    <row r="5" spans="1:10">
      <c r="C5" s="7" t="s">
        <v>10</v>
      </c>
      <c r="D5" s="37" t="s">
        <v>31</v>
      </c>
      <c r="E5" s="38"/>
      <c r="H5" s="17" t="s">
        <v>19</v>
      </c>
      <c r="I5" s="3"/>
      <c r="J5" s="3"/>
    </row>
    <row r="6" spans="1:10">
      <c r="B6" s="8"/>
      <c r="C6" s="9" t="s">
        <v>2</v>
      </c>
      <c r="D6" s="35" t="s">
        <v>31</v>
      </c>
      <c r="E6" s="35"/>
    </row>
    <row r="7" spans="1:10">
      <c r="C7" s="9" t="s">
        <v>1</v>
      </c>
      <c r="D7" s="35" t="s">
        <v>59</v>
      </c>
      <c r="E7" s="35"/>
    </row>
    <row r="9" spans="1:10">
      <c r="B9" s="10" t="s">
        <v>4</v>
      </c>
      <c r="C9" s="10" t="s">
        <v>5</v>
      </c>
      <c r="D9" s="10" t="s">
        <v>6</v>
      </c>
      <c r="E9" s="10" t="s">
        <v>7</v>
      </c>
    </row>
    <row r="10" spans="1:10" ht="43.2">
      <c r="B10" s="3">
        <v>1</v>
      </c>
      <c r="C10" s="1" t="s">
        <v>48</v>
      </c>
      <c r="D10" s="2" t="s">
        <v>53</v>
      </c>
      <c r="E10" s="2" t="s">
        <v>54</v>
      </c>
    </row>
    <row r="11" spans="1:10" ht="43.2">
      <c r="B11" s="3">
        <f>B10+1</f>
        <v>2</v>
      </c>
      <c r="C11" s="1" t="s">
        <v>49</v>
      </c>
      <c r="D11" s="2" t="s">
        <v>53</v>
      </c>
      <c r="E11" s="2" t="s">
        <v>55</v>
      </c>
    </row>
    <row r="12" spans="1:10" ht="57.6">
      <c r="B12" s="3">
        <f t="shared" ref="B12:B26" si="0">B11+1</f>
        <v>3</v>
      </c>
      <c r="C12" s="1" t="s">
        <v>50</v>
      </c>
      <c r="D12" s="2" t="s">
        <v>53</v>
      </c>
      <c r="E12" s="2" t="s">
        <v>56</v>
      </c>
    </row>
    <row r="13" spans="1:10" ht="43.2">
      <c r="B13" s="3">
        <f t="shared" si="0"/>
        <v>4</v>
      </c>
      <c r="C13" s="1" t="s">
        <v>51</v>
      </c>
      <c r="D13" s="2" t="s">
        <v>53</v>
      </c>
      <c r="E13" s="2" t="s">
        <v>57</v>
      </c>
    </row>
    <row r="14" spans="1:10" ht="57.6">
      <c r="B14" s="3">
        <f t="shared" si="0"/>
        <v>5</v>
      </c>
      <c r="C14" s="1" t="s">
        <v>52</v>
      </c>
      <c r="D14" s="2" t="s">
        <v>58</v>
      </c>
      <c r="E14" s="2" t="s">
        <v>60</v>
      </c>
    </row>
    <row r="15" spans="1:10">
      <c r="B15" s="3">
        <f t="shared" si="0"/>
        <v>6</v>
      </c>
      <c r="C15" s="1"/>
      <c r="D15" s="1"/>
      <c r="E15" s="2"/>
    </row>
    <row r="16" spans="1:10">
      <c r="B16" s="3">
        <f t="shared" si="0"/>
        <v>7</v>
      </c>
      <c r="C16" s="1"/>
      <c r="D16" s="2"/>
      <c r="E16" s="2"/>
    </row>
    <row r="17" spans="2:5">
      <c r="B17" s="3">
        <f t="shared" si="0"/>
        <v>8</v>
      </c>
      <c r="C17" s="1"/>
      <c r="D17" s="2"/>
      <c r="E17" s="2"/>
    </row>
    <row r="18" spans="2:5">
      <c r="B18" s="3">
        <f t="shared" si="0"/>
        <v>9</v>
      </c>
      <c r="C18" s="1"/>
      <c r="D18" s="1"/>
      <c r="E18" s="2"/>
    </row>
    <row r="19" spans="2:5">
      <c r="B19" s="3">
        <f t="shared" si="0"/>
        <v>10</v>
      </c>
      <c r="C19" s="1"/>
      <c r="D19" s="2"/>
      <c r="E19" s="2"/>
    </row>
    <row r="20" spans="2:5">
      <c r="B20" s="3">
        <f t="shared" si="0"/>
        <v>11</v>
      </c>
      <c r="C20" s="1"/>
      <c r="D20" s="1"/>
      <c r="E20" s="2"/>
    </row>
    <row r="21" spans="2:5">
      <c r="B21" s="3">
        <f t="shared" si="0"/>
        <v>12</v>
      </c>
      <c r="C21" s="1"/>
      <c r="D21" s="1"/>
      <c r="E21" s="2"/>
    </row>
    <row r="22" spans="2:5">
      <c r="B22" s="3">
        <f t="shared" si="0"/>
        <v>13</v>
      </c>
      <c r="C22" s="1"/>
      <c r="D22" s="1"/>
      <c r="E22" s="2"/>
    </row>
    <row r="23" spans="2:5">
      <c r="B23" s="3">
        <f t="shared" si="0"/>
        <v>14</v>
      </c>
      <c r="C23" s="1"/>
      <c r="D23" s="1"/>
      <c r="E23" s="2"/>
    </row>
    <row r="24" spans="2:5">
      <c r="B24" s="3">
        <f t="shared" si="0"/>
        <v>15</v>
      </c>
      <c r="C24" s="1"/>
      <c r="D24" s="1"/>
      <c r="E24" s="2"/>
    </row>
    <row r="25" spans="2:5">
      <c r="B25" s="3">
        <f t="shared" si="0"/>
        <v>16</v>
      </c>
      <c r="C25" s="1"/>
      <c r="D25" s="1"/>
      <c r="E25" s="2"/>
    </row>
    <row r="26" spans="2:5">
      <c r="B26" s="3">
        <f t="shared" si="0"/>
        <v>17</v>
      </c>
      <c r="C26" s="1"/>
      <c r="D26" s="1"/>
      <c r="E26" s="2"/>
    </row>
    <row r="28" spans="2:5">
      <c r="C28" s="11" t="s">
        <v>8</v>
      </c>
      <c r="D28" s="12"/>
      <c r="E28" s="1" t="s">
        <v>47</v>
      </c>
    </row>
  </sheetData>
  <mergeCells count="6">
    <mergeCell ref="H1:J1"/>
    <mergeCell ref="B2:E2"/>
    <mergeCell ref="D4:E4"/>
    <mergeCell ref="D6:E6"/>
    <mergeCell ref="D7:E7"/>
    <mergeCell ref="D5:E5"/>
  </mergeCells>
  <phoneticPr fontId="1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J32"/>
  <sheetViews>
    <sheetView tabSelected="1" topLeftCell="C11" workbookViewId="0">
      <selection activeCell="E18" sqref="E18"/>
    </sheetView>
  </sheetViews>
  <sheetFormatPr defaultColWidth="8.88671875" defaultRowHeight="14.4"/>
  <cols>
    <col min="1" max="1" width="8.88671875" style="6"/>
    <col min="2" max="2" width="12.21875" style="6" customWidth="1"/>
    <col min="3" max="3" width="16.21875" style="6" customWidth="1"/>
    <col min="4" max="4" width="46.33203125" style="6" customWidth="1"/>
    <col min="5" max="5" width="41.44140625" style="6" customWidth="1"/>
    <col min="6" max="8" width="8.88671875" style="6"/>
    <col min="9" max="9" width="26.77734375" style="6" customWidth="1"/>
    <col min="10" max="16384" width="8.88671875" style="6"/>
  </cols>
  <sheetData>
    <row r="1" spans="1:10" ht="15.6">
      <c r="A1" s="4"/>
      <c r="B1" s="5" t="s">
        <v>3</v>
      </c>
      <c r="H1" s="32" t="s">
        <v>20</v>
      </c>
      <c r="I1" s="32"/>
      <c r="J1" s="32"/>
    </row>
    <row r="2" spans="1:10">
      <c r="B2" s="33" t="s">
        <v>14</v>
      </c>
      <c r="C2" s="33"/>
      <c r="D2" s="33"/>
      <c r="E2" s="33"/>
      <c r="H2" s="3"/>
      <c r="I2" s="19" t="s">
        <v>27</v>
      </c>
      <c r="J2" s="17" t="s">
        <v>21</v>
      </c>
    </row>
    <row r="3" spans="1:10">
      <c r="H3" s="17" t="s">
        <v>17</v>
      </c>
      <c r="I3" s="22" t="s">
        <v>30</v>
      </c>
      <c r="J3" s="17">
        <v>237</v>
      </c>
    </row>
    <row r="4" spans="1:10">
      <c r="C4" s="16" t="s">
        <v>0</v>
      </c>
      <c r="D4" s="34" t="s">
        <v>13</v>
      </c>
      <c r="E4" s="34"/>
      <c r="H4" s="17" t="s">
        <v>18</v>
      </c>
      <c r="I4" s="22" t="s">
        <v>31</v>
      </c>
      <c r="J4" s="3">
        <v>237</v>
      </c>
    </row>
    <row r="5" spans="1:10">
      <c r="C5" s="16" t="s">
        <v>9</v>
      </c>
      <c r="D5" s="37" t="s">
        <v>113</v>
      </c>
      <c r="E5" s="38"/>
      <c r="H5" s="17" t="s">
        <v>19</v>
      </c>
      <c r="I5" s="3"/>
      <c r="J5" s="3"/>
    </row>
    <row r="6" spans="1:10">
      <c r="B6" s="8"/>
      <c r="C6" s="9" t="s">
        <v>2</v>
      </c>
      <c r="D6" s="35" t="s">
        <v>113</v>
      </c>
      <c r="E6" s="35"/>
    </row>
    <row r="7" spans="1:10">
      <c r="C7" s="9" t="s">
        <v>1</v>
      </c>
      <c r="D7" s="35" t="s">
        <v>59</v>
      </c>
      <c r="E7" s="35"/>
    </row>
    <row r="9" spans="1:10">
      <c r="B9" s="10" t="s">
        <v>4</v>
      </c>
      <c r="C9" s="10" t="s">
        <v>5</v>
      </c>
      <c r="D9" s="10" t="s">
        <v>6</v>
      </c>
      <c r="E9" s="10" t="s">
        <v>7</v>
      </c>
    </row>
    <row r="10" spans="1:10" ht="86.4">
      <c r="B10" s="3">
        <v>1</v>
      </c>
      <c r="C10" s="1" t="s">
        <v>62</v>
      </c>
      <c r="D10" s="2" t="s">
        <v>70</v>
      </c>
      <c r="E10" s="2" t="s">
        <v>66</v>
      </c>
    </row>
    <row r="11" spans="1:10" ht="86.4">
      <c r="B11" s="3">
        <f>B10+1</f>
        <v>2</v>
      </c>
      <c r="C11" s="1" t="s">
        <v>63</v>
      </c>
      <c r="D11" s="1" t="s">
        <v>71</v>
      </c>
      <c r="E11" s="2" t="s">
        <v>69</v>
      </c>
    </row>
    <row r="12" spans="1:10" ht="72">
      <c r="B12" s="3">
        <f t="shared" ref="B12:B30" si="0">B11+1</f>
        <v>3</v>
      </c>
      <c r="C12" s="1" t="s">
        <v>64</v>
      </c>
      <c r="D12" s="1" t="s">
        <v>72</v>
      </c>
      <c r="E12" s="2" t="s">
        <v>67</v>
      </c>
    </row>
    <row r="13" spans="1:10" ht="57.6">
      <c r="B13" s="3">
        <f t="shared" si="0"/>
        <v>4</v>
      </c>
      <c r="C13" s="1" t="s">
        <v>65</v>
      </c>
      <c r="D13" s="2" t="s">
        <v>70</v>
      </c>
      <c r="E13" s="2" t="s">
        <v>68</v>
      </c>
    </row>
    <row r="14" spans="1:10" ht="28.8">
      <c r="B14" s="3">
        <f t="shared" si="0"/>
        <v>5</v>
      </c>
      <c r="C14" s="1" t="s">
        <v>112</v>
      </c>
      <c r="D14" s="2" t="s">
        <v>73</v>
      </c>
      <c r="E14" s="29" t="s">
        <v>74</v>
      </c>
    </row>
    <row r="15" spans="1:10" ht="43.2">
      <c r="B15" s="3">
        <f t="shared" si="0"/>
        <v>6</v>
      </c>
      <c r="C15" s="1" t="s">
        <v>110</v>
      </c>
      <c r="D15" t="s">
        <v>75</v>
      </c>
      <c r="E15" s="2" t="s">
        <v>76</v>
      </c>
    </row>
    <row r="16" spans="1:10">
      <c r="B16" s="3">
        <f t="shared" si="0"/>
        <v>7</v>
      </c>
      <c r="C16" s="1" t="s">
        <v>65</v>
      </c>
      <c r="D16" t="s">
        <v>75</v>
      </c>
      <c r="E16" s="2" t="s">
        <v>77</v>
      </c>
    </row>
    <row r="17" spans="2:5" ht="28.8">
      <c r="B17" s="3">
        <f t="shared" si="0"/>
        <v>8</v>
      </c>
      <c r="C17" s="1" t="s">
        <v>110</v>
      </c>
      <c r="D17" t="s">
        <v>78</v>
      </c>
      <c r="E17" s="29" t="s">
        <v>79</v>
      </c>
    </row>
    <row r="18" spans="2:5" ht="43.2">
      <c r="B18" s="3">
        <f t="shared" si="0"/>
        <v>9</v>
      </c>
      <c r="C18" s="1" t="s">
        <v>62</v>
      </c>
      <c r="D18" s="1" t="s">
        <v>78</v>
      </c>
      <c r="E18" s="2" t="s">
        <v>80</v>
      </c>
    </row>
    <row r="19" spans="2:5" ht="28.8">
      <c r="B19" s="3">
        <f t="shared" si="0"/>
        <v>10</v>
      </c>
      <c r="C19" s="1" t="s">
        <v>65</v>
      </c>
      <c r="D19" t="s">
        <v>81</v>
      </c>
      <c r="E19" s="2" t="s">
        <v>82</v>
      </c>
    </row>
    <row r="20" spans="2:5" ht="28.8">
      <c r="B20" s="3">
        <f t="shared" si="0"/>
        <v>11</v>
      </c>
      <c r="C20" s="1" t="s">
        <v>64</v>
      </c>
      <c r="D20" t="s">
        <v>71</v>
      </c>
      <c r="E20" s="2" t="s">
        <v>83</v>
      </c>
    </row>
    <row r="21" spans="2:5" ht="28.8">
      <c r="B21" s="3">
        <f t="shared" si="0"/>
        <v>12</v>
      </c>
      <c r="C21" s="1" t="s">
        <v>111</v>
      </c>
      <c r="D21" t="s">
        <v>84</v>
      </c>
      <c r="E21" s="2" t="s">
        <v>85</v>
      </c>
    </row>
    <row r="22" spans="2:5">
      <c r="B22" s="3">
        <f t="shared" si="0"/>
        <v>13</v>
      </c>
      <c r="C22" s="1"/>
      <c r="D22" s="2"/>
    </row>
    <row r="23" spans="2:5">
      <c r="B23" s="3">
        <f t="shared" si="0"/>
        <v>14</v>
      </c>
      <c r="C23" s="1"/>
      <c r="D23" s="2"/>
      <c r="E23" s="2"/>
    </row>
    <row r="24" spans="2:5">
      <c r="B24" s="3">
        <f t="shared" si="0"/>
        <v>15</v>
      </c>
      <c r="C24" s="1"/>
      <c r="D24" s="2"/>
      <c r="E24" s="2"/>
    </row>
    <row r="25" spans="2:5">
      <c r="B25" s="3">
        <f t="shared" si="0"/>
        <v>16</v>
      </c>
      <c r="C25" s="1"/>
      <c r="D25" s="2"/>
      <c r="E25" s="2"/>
    </row>
    <row r="26" spans="2:5">
      <c r="B26" s="3">
        <f t="shared" si="0"/>
        <v>17</v>
      </c>
      <c r="C26" s="1"/>
      <c r="D26" s="1"/>
      <c r="E26" s="2"/>
    </row>
    <row r="27" spans="2:5">
      <c r="B27" s="3">
        <f t="shared" si="0"/>
        <v>18</v>
      </c>
      <c r="C27" s="1"/>
      <c r="D27" s="2"/>
      <c r="E27" s="1"/>
    </row>
    <row r="28" spans="2:5">
      <c r="B28" s="3">
        <f t="shared" si="0"/>
        <v>19</v>
      </c>
      <c r="C28" s="1"/>
      <c r="D28" s="2"/>
      <c r="E28" s="2"/>
    </row>
    <row r="29" spans="2:5">
      <c r="B29" s="3">
        <f t="shared" si="0"/>
        <v>20</v>
      </c>
      <c r="C29" s="1"/>
      <c r="D29" s="2"/>
      <c r="E29" s="2"/>
    </row>
    <row r="30" spans="2:5">
      <c r="B30" s="3">
        <f t="shared" si="0"/>
        <v>21</v>
      </c>
      <c r="C30" s="1"/>
      <c r="D30" s="2"/>
      <c r="E30" s="2"/>
    </row>
    <row r="32" spans="2:5">
      <c r="C32" s="11" t="s">
        <v>8</v>
      </c>
      <c r="D32" s="12"/>
      <c r="E32" s="1" t="s">
        <v>47</v>
      </c>
    </row>
  </sheetData>
  <mergeCells count="6">
    <mergeCell ref="D7:E7"/>
    <mergeCell ref="H1:J1"/>
    <mergeCell ref="D4:E4"/>
    <mergeCell ref="D6:E6"/>
    <mergeCell ref="B2:E2"/>
    <mergeCell ref="D5:E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J35"/>
  <sheetViews>
    <sheetView workbookViewId="0">
      <selection activeCell="H26" sqref="H26"/>
    </sheetView>
  </sheetViews>
  <sheetFormatPr defaultColWidth="8.88671875" defaultRowHeight="14.4"/>
  <cols>
    <col min="1" max="1" width="8.88671875" style="6"/>
    <col min="2" max="2" width="12.21875" style="6" customWidth="1"/>
    <col min="3" max="3" width="16.21875" style="6" customWidth="1"/>
    <col min="4" max="4" width="18" style="6" customWidth="1"/>
    <col min="5" max="5" width="49" style="6" customWidth="1"/>
    <col min="6" max="6" width="39.77734375" style="6" customWidth="1"/>
    <col min="7" max="8" width="8.88671875" style="6"/>
    <col min="9" max="9" width="26.77734375" style="6" customWidth="1"/>
    <col min="10" max="16384" width="8.88671875" style="6"/>
  </cols>
  <sheetData>
    <row r="1" spans="1:10" ht="15.6">
      <c r="A1" s="4"/>
      <c r="B1" s="5" t="s">
        <v>3</v>
      </c>
      <c r="H1" s="32" t="s">
        <v>20</v>
      </c>
      <c r="I1" s="32"/>
      <c r="J1" s="32"/>
    </row>
    <row r="2" spans="1:10">
      <c r="B2" s="33" t="s">
        <v>28</v>
      </c>
      <c r="C2" s="33"/>
      <c r="D2" s="33"/>
      <c r="E2" s="33"/>
      <c r="H2" s="3"/>
      <c r="I2" s="19" t="s">
        <v>27</v>
      </c>
      <c r="J2" s="17" t="s">
        <v>21</v>
      </c>
    </row>
    <row r="3" spans="1:10">
      <c r="H3" s="17" t="s">
        <v>17</v>
      </c>
      <c r="I3" s="22" t="s">
        <v>30</v>
      </c>
      <c r="J3" s="17">
        <v>237</v>
      </c>
    </row>
    <row r="4" spans="1:10">
      <c r="C4" s="16" t="s">
        <v>22</v>
      </c>
      <c r="D4" s="34" t="s">
        <v>114</v>
      </c>
      <c r="E4" s="34"/>
      <c r="H4" s="17" t="s">
        <v>18</v>
      </c>
      <c r="I4" s="22" t="s">
        <v>31</v>
      </c>
      <c r="J4" s="3">
        <v>237</v>
      </c>
    </row>
    <row r="5" spans="1:10">
      <c r="C5" s="9" t="s">
        <v>2</v>
      </c>
      <c r="D5" s="35" t="s">
        <v>86</v>
      </c>
      <c r="E5" s="35"/>
      <c r="H5" s="17" t="s">
        <v>19</v>
      </c>
      <c r="I5" s="3"/>
      <c r="J5" s="3"/>
    </row>
    <row r="6" spans="1:10">
      <c r="B6" s="8"/>
      <c r="C6" s="9" t="s">
        <v>1</v>
      </c>
      <c r="D6" s="35" t="s">
        <v>59</v>
      </c>
      <c r="E6" s="35"/>
      <c r="F6" s="20"/>
    </row>
    <row r="9" spans="1:10">
      <c r="B9" s="10" t="s">
        <v>4</v>
      </c>
      <c r="C9" s="10" t="s">
        <v>25</v>
      </c>
      <c r="D9" s="10" t="s">
        <v>24</v>
      </c>
      <c r="E9" s="10" t="s">
        <v>23</v>
      </c>
      <c r="F9" s="10" t="s">
        <v>26</v>
      </c>
    </row>
    <row r="10" spans="1:10" ht="243.6" customHeight="1">
      <c r="B10" s="3">
        <v>1</v>
      </c>
      <c r="C10" s="2" t="s">
        <v>87</v>
      </c>
      <c r="D10" s="2" t="s">
        <v>88</v>
      </c>
      <c r="E10" s="27" t="s">
        <v>89</v>
      </c>
      <c r="F10" s="2" t="s">
        <v>90</v>
      </c>
    </row>
    <row r="11" spans="1:10" ht="86.4">
      <c r="B11" s="3">
        <f>B10+1</f>
        <v>2</v>
      </c>
      <c r="C11" s="2" t="s">
        <v>87</v>
      </c>
      <c r="D11" s="2" t="s">
        <v>93</v>
      </c>
      <c r="E11" s="27" t="s">
        <v>91</v>
      </c>
      <c r="F11" s="2" t="s">
        <v>92</v>
      </c>
    </row>
    <row r="12" spans="1:10" ht="57.6">
      <c r="B12" s="3">
        <f t="shared" ref="B12:B30" si="0">B11+1</f>
        <v>3</v>
      </c>
      <c r="C12" s="2" t="s">
        <v>87</v>
      </c>
      <c r="D12" s="2" t="s">
        <v>94</v>
      </c>
      <c r="E12" s="27" t="s">
        <v>95</v>
      </c>
      <c r="F12" s="2" t="s">
        <v>96</v>
      </c>
    </row>
    <row r="13" spans="1:10" ht="72">
      <c r="B13" s="3">
        <f t="shared" si="0"/>
        <v>4</v>
      </c>
      <c r="C13" s="2" t="s">
        <v>87</v>
      </c>
      <c r="D13" s="2" t="s">
        <v>97</v>
      </c>
      <c r="E13" s="27" t="s">
        <v>98</v>
      </c>
      <c r="F13" s="2" t="s">
        <v>99</v>
      </c>
    </row>
    <row r="14" spans="1:10" ht="72">
      <c r="B14" s="3">
        <f t="shared" si="0"/>
        <v>5</v>
      </c>
      <c r="C14" s="2" t="s">
        <v>100</v>
      </c>
      <c r="D14" s="2" t="s">
        <v>101</v>
      </c>
      <c r="E14" s="27" t="s">
        <v>102</v>
      </c>
      <c r="F14" s="2" t="s">
        <v>103</v>
      </c>
    </row>
    <row r="15" spans="1:10" ht="57.6">
      <c r="B15" s="3">
        <f t="shared" si="0"/>
        <v>6</v>
      </c>
      <c r="C15" s="2" t="s">
        <v>100</v>
      </c>
      <c r="D15" s="2" t="s">
        <v>104</v>
      </c>
      <c r="E15" s="28" t="s">
        <v>105</v>
      </c>
      <c r="F15" s="2" t="s">
        <v>106</v>
      </c>
    </row>
    <row r="16" spans="1:10" ht="57.6">
      <c r="B16" s="3">
        <f t="shared" si="0"/>
        <v>7</v>
      </c>
      <c r="C16" s="2" t="s">
        <v>100</v>
      </c>
      <c r="D16" s="2" t="s">
        <v>107</v>
      </c>
      <c r="E16" s="27" t="s">
        <v>108</v>
      </c>
      <c r="F16" s="2" t="s">
        <v>109</v>
      </c>
    </row>
    <row r="17" spans="2:6">
      <c r="B17" s="3">
        <f t="shared" si="0"/>
        <v>8</v>
      </c>
      <c r="C17" s="1"/>
      <c r="D17" s="1"/>
      <c r="E17" s="25"/>
      <c r="F17" s="1"/>
    </row>
    <row r="18" spans="2:6">
      <c r="B18" s="3">
        <f t="shared" si="0"/>
        <v>9</v>
      </c>
      <c r="C18" s="1"/>
      <c r="D18" s="1"/>
      <c r="E18" s="26"/>
      <c r="F18" s="1"/>
    </row>
    <row r="19" spans="2:6">
      <c r="B19" s="3">
        <f t="shared" si="0"/>
        <v>10</v>
      </c>
      <c r="C19" s="1"/>
      <c r="D19" s="1"/>
      <c r="E19" s="26"/>
      <c r="F19" s="1"/>
    </row>
    <row r="20" spans="2:6">
      <c r="B20" s="3">
        <f t="shared" si="0"/>
        <v>11</v>
      </c>
      <c r="C20" s="1"/>
      <c r="D20" s="1"/>
      <c r="E20" s="23"/>
      <c r="F20" s="1"/>
    </row>
    <row r="21" spans="2:6">
      <c r="B21" s="3">
        <f t="shared" si="0"/>
        <v>12</v>
      </c>
      <c r="C21" s="1"/>
      <c r="D21" s="1"/>
      <c r="E21" s="24"/>
      <c r="F21" s="1"/>
    </row>
    <row r="22" spans="2:6">
      <c r="B22" s="3">
        <f t="shared" si="0"/>
        <v>13</v>
      </c>
      <c r="C22" s="1"/>
      <c r="D22" s="1"/>
      <c r="E22" s="25"/>
      <c r="F22" s="1"/>
    </row>
    <row r="23" spans="2:6">
      <c r="B23" s="3">
        <f t="shared" si="0"/>
        <v>14</v>
      </c>
      <c r="C23" s="1"/>
      <c r="D23" s="1"/>
      <c r="E23" s="26"/>
      <c r="F23" s="1"/>
    </row>
    <row r="24" spans="2:6">
      <c r="B24" s="3">
        <f t="shared" si="0"/>
        <v>15</v>
      </c>
      <c r="C24" s="1"/>
      <c r="D24" s="1"/>
      <c r="E24" s="26"/>
      <c r="F24" s="1"/>
    </row>
    <row r="25" spans="2:6">
      <c r="B25" s="3">
        <f t="shared" si="0"/>
        <v>16</v>
      </c>
      <c r="C25" s="1"/>
      <c r="D25" s="2"/>
      <c r="E25" s="26"/>
      <c r="F25" s="2"/>
    </row>
    <row r="26" spans="2:6">
      <c r="B26" s="3">
        <f t="shared" si="0"/>
        <v>17</v>
      </c>
      <c r="C26" s="1"/>
      <c r="D26" s="1"/>
      <c r="E26" s="2"/>
      <c r="F26" s="2"/>
    </row>
    <row r="27" spans="2:6">
      <c r="B27" s="3">
        <f t="shared" si="0"/>
        <v>18</v>
      </c>
      <c r="C27" s="1"/>
      <c r="D27" s="2"/>
      <c r="E27" s="1"/>
      <c r="F27" s="1"/>
    </row>
    <row r="28" spans="2:6">
      <c r="B28" s="3">
        <f t="shared" si="0"/>
        <v>19</v>
      </c>
      <c r="C28" s="1"/>
      <c r="D28" s="2"/>
      <c r="E28" s="2"/>
      <c r="F28" s="2"/>
    </row>
    <row r="29" spans="2:6">
      <c r="B29" s="3">
        <f t="shared" si="0"/>
        <v>20</v>
      </c>
      <c r="C29" s="1"/>
      <c r="D29" s="2"/>
      <c r="E29" s="2"/>
      <c r="F29" s="2"/>
    </row>
    <row r="30" spans="2:6">
      <c r="B30" s="3">
        <f t="shared" si="0"/>
        <v>21</v>
      </c>
      <c r="C30" s="1"/>
      <c r="D30" s="2"/>
      <c r="E30" s="2"/>
      <c r="F30" s="2"/>
    </row>
    <row r="32" spans="2:6">
      <c r="C32" s="30" t="s">
        <v>29</v>
      </c>
      <c r="D32" s="31"/>
      <c r="E32" s="31"/>
      <c r="F32" s="18">
        <v>2</v>
      </c>
    </row>
    <row r="35" spans="6:6">
      <c r="F35" s="21"/>
    </row>
  </sheetData>
  <mergeCells count="6">
    <mergeCell ref="C32:E32"/>
    <mergeCell ref="H1:J1"/>
    <mergeCell ref="B2:E2"/>
    <mergeCell ref="D4:E4"/>
    <mergeCell ref="D5:E5"/>
    <mergeCell ref="D6:E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Phase Defects</vt:lpstr>
      <vt:lpstr>Architect. Design Phase Defects</vt:lpstr>
      <vt:lpstr>Coding Phase Defects</vt:lpstr>
      <vt:lpstr>Tool-basedCodeAnalysis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Andreea</dc:creator>
  <cp:lastModifiedBy>ALEXANDRA-ISABELA TRIFAN</cp:lastModifiedBy>
  <dcterms:created xsi:type="dcterms:W3CDTF">2015-02-21T15:59:19Z</dcterms:created>
  <dcterms:modified xsi:type="dcterms:W3CDTF">2026-03-16T12:50:07Z</dcterms:modified>
</cp:coreProperties>
</file>