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Alexandra\Desktop\Facultate_anul_3\Semestrul2\VVSS\Laborator\MyDrinkShop\docs\Lab01\"/>
    </mc:Choice>
  </mc:AlternateContent>
  <xr:revisionPtr revIDLastSave="0" documentId="13_ncr:1_{8C294F6D-DDEF-4858-A403-FE762A5FC6A3}" xr6:coauthVersionLast="47" xr6:coauthVersionMax="47" xr10:uidLastSave="{00000000-0000-0000-0000-000000000000}"/>
  <bookViews>
    <workbookView xWindow="-108" yWindow="-108" windowWidth="23256" windowHeight="13896" tabRatio="650" activeTab="3"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<sst xmlns="http://schemas.openxmlformats.org/spreadsheetml/2006/main" count="139" uniqueCount="73">
  <si>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</si>
  <si>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</si>
  <si>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</si>
  <si>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</si>
  <si>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</si>
  <si>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</si>
  <si>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</si>
  <si>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</si>
  <si>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</si>
  <si>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</si>
  <si>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</si>
  <si>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</si>
  <si>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</si>
  <si>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</si>
  <si>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</si>
  <si>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</si>
  <si>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</si>
  <si>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</si>
  <si>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</si>
  <si>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</si>
  <si>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</si>
  <si>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</si>
  <si>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</si>
  <si>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</si>
  <si>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</si>
  <si>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</si>
  <si>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</si>
  <si>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</si>
  <si>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</si>
  <si>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</si>
  <si>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Toda-Puiuleț Emanuela-Coralia</t>
  </si>
  <si>
    <t>Trifan Alexandra-Isabela</t>
  </si>
  <si>
    <t>14.03.2026</t>
  </si>
  <si>
    <t>R01</t>
  </si>
  <si>
    <t>R02</t>
  </si>
  <si>
    <t>R03</t>
  </si>
  <si>
    <t>R04</t>
  </si>
  <si>
    <t>R05</t>
  </si>
  <si>
    <t>R06</t>
  </si>
  <si>
    <t>R07</t>
  </si>
  <si>
    <t>The requirements are incomplete because they do not specify the system's behavior in case of errors, for example, what should happen if the category and the type of a drink are not provided when adding a new product.</t>
  </si>
  <si>
    <t>Functional requirements detailing data validation criteria for user inputs (e.g., product quantities must be strictly positive) are missing.</t>
  </si>
  <si>
    <t>N/A. The existing requirements are not contradictory or incorrect, just lacking in specific details regarding edge cases.</t>
  </si>
  <si>
    <t>The initialization of the system state is not considered; it is not specified how the database (text files) should be initialized on the first application run.</t>
  </si>
  <si>
    <t>N/A. The core functionalities (CRUD operations, receipt generation) are adequately defined.</t>
  </si>
  <si>
    <t>N/A. The non-functional requirements clearly specify the technological environment (JavaFX, Maven, text files).</t>
  </si>
  <si>
    <t>N/A. The user's needs regarding the management of products, recipes, and orders are clearly stated in the description.</t>
  </si>
  <si>
    <t>0.5 (30 minutes)</t>
  </si>
  <si>
    <t>A01</t>
  </si>
  <si>
    <t>A04</t>
  </si>
  <si>
    <t>A05</t>
  </si>
  <si>
    <t>A06</t>
  </si>
  <si>
    <t>A08</t>
  </si>
  <si>
    <t>Requirements_MyDrinkShop.png_1.1.png</t>
  </si>
  <si>
    <t>Yes, the overall architecture is clear and well-organized, cleanly separating the domain model, business logic, data access, and UI.</t>
  </si>
  <si>
    <t>Yes, the classes in the Service layer properly expose the necessary operations for the UI Controllers.</t>
  </si>
  <si>
    <t>The architecture lacks a coherent and clearly defined error handling strategy to propagate validation or database exceptions to the UI layer.</t>
  </si>
  <si>
    <t>The architecture correctly incorporates classic design patterns, such as the Repository pattern for data access.</t>
  </si>
  <si>
    <t>Requirements_MyDrinkShop-ClassesOnly_1.0.png</t>
  </si>
  <si>
    <t>15.03.2026</t>
  </si>
  <si>
    <t>The responsibility for calculating the total price is not clearly delimited, with overlapping logic and responsibilities present in both the Order entity class and the OrderService class.</t>
  </si>
  <si>
    <t>RequirementsMyDrinkShop_1.0.pdf, page 1</t>
  </si>
  <si>
    <t>C01</t>
  </si>
  <si>
    <t>C08</t>
  </si>
  <si>
    <t>C09</t>
  </si>
  <si>
    <t>C011</t>
  </si>
  <si>
    <t>The decision logic for maintaining the totalPrice attribute in the Order class is inadequate because adding or removing an item (addItem / removeItem) does not automatically update the total price, leaving the object in an inconsistent state.</t>
  </si>
  <si>
    <t>In OrderService.computeTotal, there is an inefficient use of parameters and redundant data fetching; it fetches the product again from productRepo using the ID instead of delegating the calculation to the domain model.</t>
  </si>
  <si>
    <t>The Order.java class contains duplicate methods (getTotal() vs getTotalPrice()), which causes confusion regarding naming conventions and method usage.</t>
  </si>
  <si>
    <t>While validation exceptions are correctly thrown by the Validator, the error message processing in the UI is inadequate. The exceptions crash in the JavaFX thread and are only printed to the IDE console, instead of being caught and properly displayed to the user via a GUI Alert.</t>
  </si>
  <si>
    <t>src/main/java/drinkshop/domain/Order.java</t>
  </si>
  <si>
    <t>src/main/java/drinkshop/ui/DrinkShopController.java</t>
  </si>
  <si>
    <t>src/main/java/drinkshop/service/OrderService.java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</si>
</sst>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33">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 fillId="0" borderId="1" xfId="0" applyFont="1" applyBorder="1"/>
    <xf numFmtId="0" fontId="7" fillId="0" borderId="1" xfId="0" applyFont="1" applyBorder="1" applyAlignment="1">
      <alignment horizontal="right"/>
    </xf>
    <xf numFmtId="0" fontId="5" fillId="0" borderId="1" xfId="0" applyFont="1" applyBorder="1" applyAlignment="1">
      <alignment horizontal="center"/>
    </xf>
    <xf numFmtId="0" fontId="7" fillId="4" borderId="1" xfId="0" applyFont="1" applyFill="1" applyBorder="1" applyAlignment="1">
      <alignment horizontal="right"/>
    </xf>
    <xf numFmtId="0" fontId="7" fillId="0" borderId="0" xfId="0" applyFont="1" applyAlignment="1">
      <alignment horizontal="center"/>
    </xf>
    <xf numFmtId="0" fontId="11" fillId="2" borderId="2" xfId="0" applyFont="1" applyFill="1" applyBorder="1" applyAlignment="1">
      <alignment horizontal="right"/>
    </xf>
    <xf numFmtId="0" fontId="11" fillId="2" borderId="4" xfId="0" applyFont="1" applyFill="1" applyBorder="1" applyAlignment="1">
      <alignment horizontal="right"/>
    </xf>
    <xf numFmtId="0" fontId="7" fillId="2" borderId="1" xfId="0" applyFont="1" applyFill="1" applyBorder="1" applyAlignment="1">
      <alignment horizontal="right"/>
    </xf>
    <xf numFmtId="0" fontId="7" fillId="3" borderId="1" xfId="0" applyFont="1" applyFill="1" applyBorder="1" applyAlignment="1">
      <alignment horizontal="right"/>
    </xf>
    <xf numFmtId="0" fontId="7" fillId="0" borderId="5" xfId="0" applyFont="1" applyBorder="1" applyAlignment="1">
      <alignment horizontal="left"/>
    </xf>
    <xf numFmtId="0" fontId="7"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11" workbookViewId="0">
      <selection activeCell="H12" sqref="H12"/>
    </sheetView>
  </sheetViews>
  <sheetFormatPr defaultColWidth="8.88671875" defaultRowHeight="14.4" x14ac:dyDescent="0.3"/>
  <cols>
    <col min="1" max="1" width="8.88671875" style="6"/>
    <col min="2" max="2" width="12.21875" style="6" customWidth="1"/>
    <col min="3" max="3" width="16.21875" style="6" customWidth="1"/>
    <col min="4" max="4" width="36.7773437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x14ac:dyDescent="0.3">
      <c r="A1" s="4"/>
      <c r="B1" s="5" t="s">
        <v>3</v>
      </c>
      <c r="H1" s="24" t="s">
        <v>20</v>
      </c>
      <c r="I1" s="24"/>
      <c r="J1" s="24"/>
    </row>
    <row r="2" spans="1:10" x14ac:dyDescent="0.3">
      <c r="B2" s="26" t="s">
        <v>16</v>
      </c>
      <c r="C2" s="26"/>
      <c r="D2" s="26"/>
      <c r="E2" s="26"/>
      <c r="H2" s="3"/>
      <c r="I2" s="19" t="s">
        <v>27</v>
      </c>
      <c r="J2" s="17" t="s">
        <v>21</v>
      </c>
    </row>
    <row r="3" spans="1:10" x14ac:dyDescent="0.3">
      <c r="H3" s="17" t="s">
        <v>17</v>
      </c>
      <c r="I3" s="22" t="s">
        <v>30</v>
      </c>
      <c r="J3" s="17">
        <v>237</v>
      </c>
    </row>
    <row r="4" spans="1:10" x14ac:dyDescent="0.3">
      <c r="C4" s="13" t="s">
        <v>0</v>
      </c>
      <c r="D4" s="29" t="s">
        <v>11</v>
      </c>
      <c r="E4" s="29"/>
      <c r="H4" s="17" t="s">
        <v>18</v>
      </c>
      <c r="I4" s="22" t="s">
        <v>31</v>
      </c>
      <c r="J4" s="3">
        <v>237</v>
      </c>
    </row>
    <row r="5" spans="1:10" x14ac:dyDescent="0.3">
      <c r="C5" s="13" t="s">
        <v>9</v>
      </c>
      <c r="D5" s="27" t="s">
        <v>31</v>
      </c>
      <c r="E5" s="28"/>
      <c r="H5" s="17" t="s">
        <v>19</v>
      </c>
      <c r="I5" s="3"/>
      <c r="J5" s="3"/>
    </row>
    <row r="6" spans="1:10" x14ac:dyDescent="0.3">
      <c r="B6" s="8"/>
      <c r="C6" s="9" t="s">
        <v>2</v>
      </c>
      <c r="D6" s="23" t="s">
        <v>31</v>
      </c>
      <c r="E6" s="23"/>
    </row>
    <row r="7" spans="1:10" x14ac:dyDescent="0.3">
      <c r="C7" s="9" t="s">
        <v>1</v>
      </c>
      <c r="D7" s="23" t="s">
        <v>32</v>
      </c>
      <c r="E7" s="23"/>
    </row>
    <row r="9" spans="1:10" x14ac:dyDescent="0.3">
      <c r="B9" s="10" t="s">
        <v>4</v>
      </c>
      <c r="C9" s="10" t="s">
        <v>5</v>
      </c>
      <c r="D9" s="10" t="s">
        <v>6</v>
      </c>
      <c r="E9" s="14" t="s">
        <v>7</v>
      </c>
    </row>
    <row r="10" spans="1:10" ht="72" x14ac:dyDescent="0.3">
      <c r="B10" s="3">
        <v>1</v>
      </c>
      <c r="C10" s="1" t="s">
        <v>33</v>
      </c>
      <c r="D10" s="1" t="s">
        <v>61</v>
      </c>
      <c r="E10" s="2" t="s">
        <v>40</v>
      </c>
    </row>
    <row r="11" spans="1:10" ht="43.2" x14ac:dyDescent="0.3">
      <c r="B11" s="3">
        <f>B10+1</f>
        <v>2</v>
      </c>
      <c r="C11" s="1" t="s">
        <v>34</v>
      </c>
      <c r="D11" s="1" t="s">
        <v>61</v>
      </c>
      <c r="E11" s="2" t="s">
        <v>41</v>
      </c>
    </row>
    <row r="12" spans="1:10" ht="43.2" x14ac:dyDescent="0.3">
      <c r="B12" s="3">
        <f t="shared" ref="B12:B25" si="0">B11+1</f>
        <v>3</v>
      </c>
      <c r="C12" s="1" t="s">
        <v>35</v>
      </c>
      <c r="D12" s="1" t="s">
        <v>61</v>
      </c>
      <c r="E12" s="2" t="s">
        <v>42</v>
      </c>
    </row>
    <row r="13" spans="1:10" ht="57.6" x14ac:dyDescent="0.3">
      <c r="B13" s="3">
        <f t="shared" si="0"/>
        <v>4</v>
      </c>
      <c r="C13" s="1" t="s">
        <v>36</v>
      </c>
      <c r="D13" s="1" t="s">
        <v>61</v>
      </c>
      <c r="E13" s="2" t="s">
        <v>43</v>
      </c>
    </row>
    <row r="14" spans="1:10" ht="28.8" x14ac:dyDescent="0.3">
      <c r="B14" s="3">
        <f t="shared" si="0"/>
        <v>5</v>
      </c>
      <c r="C14" s="1" t="s">
        <v>37</v>
      </c>
      <c r="D14" s="1" t="s">
        <v>61</v>
      </c>
      <c r="E14" s="2" t="s">
        <v>44</v>
      </c>
    </row>
    <row r="15" spans="1:10" ht="43.2" x14ac:dyDescent="0.3">
      <c r="B15" s="3">
        <f t="shared" si="0"/>
        <v>6</v>
      </c>
      <c r="C15" s="1" t="s">
        <v>38</v>
      </c>
      <c r="D15" s="1" t="s">
        <v>61</v>
      </c>
      <c r="E15" s="2" t="s">
        <v>46</v>
      </c>
    </row>
    <row r="16" spans="1:10" ht="43.2" x14ac:dyDescent="0.3">
      <c r="B16" s="3">
        <f t="shared" si="0"/>
        <v>7</v>
      </c>
      <c r="C16" s="1" t="s">
        <v>39</v>
      </c>
      <c r="D16" s="1" t="s">
        <v>61</v>
      </c>
      <c r="E16" s="2" t="s">
        <v>45</v>
      </c>
    </row>
    <row r="17" spans="2:5" x14ac:dyDescent="0.3">
      <c r="B17" s="3">
        <f t="shared" si="0"/>
        <v>8</v>
      </c>
      <c r="C17" s="1"/>
      <c r="D17" s="1"/>
      <c r="E17" s="2"/>
    </row>
    <row r="18" spans="2:5" x14ac:dyDescent="0.3">
      <c r="B18" s="3">
        <f t="shared" si="0"/>
        <v>9</v>
      </c>
      <c r="C18" s="3"/>
      <c r="D18" s="3"/>
      <c r="E18" s="15"/>
    </row>
    <row r="19" spans="2:5" x14ac:dyDescent="0.3">
      <c r="B19" s="3">
        <f t="shared" si="0"/>
        <v>10</v>
      </c>
      <c r="C19" s="3"/>
      <c r="D19" s="3"/>
      <c r="E19" s="15"/>
    </row>
    <row r="20" spans="2:5" x14ac:dyDescent="0.3">
      <c r="B20" s="3">
        <f t="shared" si="0"/>
        <v>11</v>
      </c>
      <c r="C20" s="3"/>
      <c r="D20" s="3"/>
      <c r="E20" s="15"/>
    </row>
    <row r="21" spans="2:5" x14ac:dyDescent="0.3">
      <c r="B21" s="3">
        <f t="shared" si="0"/>
        <v>12</v>
      </c>
      <c r="C21" s="3"/>
      <c r="D21" s="3"/>
      <c r="E21" s="15"/>
    </row>
    <row r="22" spans="2:5" x14ac:dyDescent="0.3">
      <c r="B22" s="3">
        <f t="shared" si="0"/>
        <v>13</v>
      </c>
      <c r="C22" s="3"/>
      <c r="D22" s="3"/>
      <c r="E22" s="15"/>
    </row>
    <row r="23" spans="2:5" x14ac:dyDescent="0.3">
      <c r="B23" s="3">
        <f t="shared" si="0"/>
        <v>14</v>
      </c>
      <c r="C23" s="3"/>
      <c r="D23" s="3"/>
      <c r="E23" s="15"/>
    </row>
    <row r="24" spans="2:5" x14ac:dyDescent="0.3">
      <c r="B24" s="3">
        <f t="shared" si="0"/>
        <v>15</v>
      </c>
      <c r="C24" s="3"/>
      <c r="D24" s="3"/>
      <c r="E24" s="15"/>
    </row>
    <row r="25" spans="2:5" x14ac:dyDescent="0.3">
      <c r="B25" s="3">
        <f t="shared" si="0"/>
        <v>16</v>
      </c>
      <c r="C25" s="3"/>
      <c r="D25" s="3"/>
      <c r="E25" s="15"/>
    </row>
    <row r="27" spans="2:5" x14ac:dyDescent="0.3">
      <c r="C27" s="11" t="s">
        <v>8</v>
      </c>
      <c r="D27" s="12"/>
      <c r="E27" s="1" t="s">
        <v>47</v>
      </c>
    </row>
  </sheetData>
  <mergeCells count="6">
    <mergeCell ref="D7:E7"/>
    <mergeCell ref="H1:J1"/>
    <mergeCell ref="B2:E2"/>
    <mergeCell ref="D4:E4"/>
    <mergeCell ref="D6:E6"/>
    <mergeCell ref="D5:E5"/>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A12" workbookViewId="0">
      <selection activeCell="E28" sqref="E28"/>
    </sheetView>
  </sheetViews>
  <sheetFormatPr defaultColWidth="8.88671875" defaultRowHeight="14.4" x14ac:dyDescent="0.3"/>
  <cols>
    <col min="1" max="1" width="8.88671875" style="6"/>
    <col min="2" max="2" width="12.21875" style="6" customWidth="1"/>
    <col min="3" max="3" width="16.21875" style="6" customWidth="1"/>
    <col min="4" max="4" width="20.88671875" style="6" customWidth="1"/>
    <col min="5" max="5" width="41.44140625" style="6" customWidth="1"/>
    <col min="6" max="8" width="8.88671875" style="6"/>
    <col min="9" max="9" width="22.109375" style="6" customWidth="1"/>
    <col min="10" max="16384" width="8.88671875" style="6"/>
  </cols>
  <sheetData>
    <row r="1" spans="1:10" ht="15.6" x14ac:dyDescent="0.3">
      <c r="A1" s="4"/>
      <c r="B1" s="5" t="s">
        <v>3</v>
      </c>
      <c r="H1" s="24" t="s">
        <v>20</v>
      </c>
      <c r="I1" s="24"/>
      <c r="J1" s="24"/>
    </row>
    <row r="2" spans="1:10" x14ac:dyDescent="0.3">
      <c r="B2" s="26" t="s">
        <v>15</v>
      </c>
      <c r="C2" s="26"/>
      <c r="D2" s="26"/>
      <c r="E2" s="26"/>
      <c r="H2" s="3"/>
      <c r="I2" s="19" t="s">
        <v>27</v>
      </c>
      <c r="J2" s="17" t="s">
        <v>21</v>
      </c>
    </row>
    <row r="3" spans="1:10" x14ac:dyDescent="0.3">
      <c r="H3" s="17" t="s">
        <v>17</v>
      </c>
      <c r="I3" s="22" t="s">
        <v>30</v>
      </c>
      <c r="J3" s="17">
        <v>237</v>
      </c>
    </row>
    <row r="4" spans="1:10" x14ac:dyDescent="0.3">
      <c r="C4" s="7" t="s">
        <v>0</v>
      </c>
      <c r="D4" s="30" t="s">
        <v>12</v>
      </c>
      <c r="E4" s="30"/>
      <c r="H4" s="17" t="s">
        <v>18</v>
      </c>
      <c r="I4" s="22" t="s">
        <v>31</v>
      </c>
      <c r="J4" s="3">
        <v>237</v>
      </c>
    </row>
    <row r="5" spans="1:10" x14ac:dyDescent="0.3">
      <c r="C5" s="7" t="s">
        <v>10</v>
      </c>
      <c r="D5" s="27" t="s">
        <v>31</v>
      </c>
      <c r="E5" s="28"/>
      <c r="H5" s="17" t="s">
        <v>19</v>
      </c>
      <c r="I5" s="3"/>
      <c r="J5" s="3"/>
    </row>
    <row r="6" spans="1:10" x14ac:dyDescent="0.3">
      <c r="B6" s="8"/>
      <c r="C6" s="9" t="s">
        <v>2</v>
      </c>
      <c r="D6" s="23" t="s">
        <v>31</v>
      </c>
      <c r="E6" s="23"/>
    </row>
    <row r="7" spans="1:10" x14ac:dyDescent="0.3">
      <c r="C7" s="9" t="s">
        <v>1</v>
      </c>
      <c r="D7" s="23" t="s">
        <v>59</v>
      </c>
      <c r="E7" s="23"/>
    </row>
    <row r="9" spans="1:10" x14ac:dyDescent="0.3">
      <c r="B9" s="10" t="s">
        <v>4</v>
      </c>
      <c r="C9" s="10" t="s">
        <v>5</v>
      </c>
      <c r="D9" s="10" t="s">
        <v>6</v>
      </c>
      <c r="E9" s="10" t="s">
        <v>7</v>
      </c>
    </row>
    <row r="10" spans="1:10" ht="43.2" x14ac:dyDescent="0.3">
      <c r="B10" s="3">
        <v>1</v>
      </c>
      <c r="C10" s="1" t="s">
        <v>48</v>
      </c>
      <c r="D10" s="2" t="s">
        <v>53</v>
      </c>
      <c r="E10" s="2" t="s">
        <v>54</v>
      </c>
    </row>
    <row r="11" spans="1:10" ht="43.2" x14ac:dyDescent="0.3">
      <c r="B11" s="3">
        <f>B10+1</f>
        <v>2</v>
      </c>
      <c r="C11" s="1" t="s">
        <v>49</v>
      </c>
      <c r="D11" s="2" t="s">
        <v>53</v>
      </c>
      <c r="E11" s="2" t="s">
        <v>55</v>
      </c>
    </row>
    <row r="12" spans="1:10" ht="57.6" x14ac:dyDescent="0.3">
      <c r="B12" s="3">
        <f t="shared" ref="B12:B26" si="0">B11+1</f>
        <v>3</v>
      </c>
      <c r="C12" s="1" t="s">
        <v>50</v>
      </c>
      <c r="D12" s="2" t="s">
        <v>53</v>
      </c>
      <c r="E12" s="2" t="s">
        <v>56</v>
      </c>
    </row>
    <row r="13" spans="1:10" ht="43.2" x14ac:dyDescent="0.3">
      <c r="B13" s="3">
        <f t="shared" si="0"/>
        <v>4</v>
      </c>
      <c r="C13" s="1" t="s">
        <v>51</v>
      </c>
      <c r="D13" s="2" t="s">
        <v>53</v>
      </c>
      <c r="E13" s="2" t="s">
        <v>57</v>
      </c>
    </row>
    <row r="14" spans="1:10" ht="57.6" x14ac:dyDescent="0.3">
      <c r="B14" s="3">
        <f t="shared" si="0"/>
        <v>5</v>
      </c>
      <c r="C14" s="1" t="s">
        <v>52</v>
      </c>
      <c r="D14" s="2" t="s">
        <v>58</v>
      </c>
      <c r="E14" s="2" t="s">
        <v>60</v>
      </c>
    </row>
    <row r="15" spans="1:10" x14ac:dyDescent="0.3">
      <c r="B15" s="3">
        <f t="shared" si="0"/>
        <v>6</v>
      </c>
      <c r="C15" s="1"/>
      <c r="D15" s="1"/>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1"/>
      <c r="E18" s="2"/>
    </row>
    <row r="19" spans="2:5" x14ac:dyDescent="0.3">
      <c r="B19" s="3">
        <f t="shared" si="0"/>
        <v>10</v>
      </c>
      <c r="C19" s="1"/>
      <c r="D19" s="2"/>
      <c r="E19" s="2"/>
    </row>
    <row r="20" spans="2:5" x14ac:dyDescent="0.3">
      <c r="B20" s="3">
        <f t="shared" si="0"/>
        <v>11</v>
      </c>
      <c r="C20" s="1"/>
      <c r="D20" s="1"/>
      <c r="E20" s="2"/>
    </row>
    <row r="21" spans="2:5" x14ac:dyDescent="0.3">
      <c r="B21" s="3">
        <f t="shared" si="0"/>
        <v>12</v>
      </c>
      <c r="C21" s="1"/>
      <c r="D21" s="1"/>
      <c r="E21" s="2"/>
    </row>
    <row r="22" spans="2:5" x14ac:dyDescent="0.3">
      <c r="B22" s="3">
        <f t="shared" si="0"/>
        <v>13</v>
      </c>
      <c r="C22" s="1"/>
      <c r="D22" s="1"/>
      <c r="E22" s="2"/>
    </row>
    <row r="23" spans="2:5" x14ac:dyDescent="0.3">
      <c r="B23" s="3">
        <f t="shared" si="0"/>
        <v>14</v>
      </c>
      <c r="C23" s="1"/>
      <c r="D23" s="1"/>
      <c r="E23" s="2"/>
    </row>
    <row r="24" spans="2:5" x14ac:dyDescent="0.3">
      <c r="B24" s="3">
        <f t="shared" si="0"/>
        <v>15</v>
      </c>
      <c r="C24" s="1"/>
      <c r="D24" s="1"/>
      <c r="E24" s="2"/>
    </row>
    <row r="25" spans="2:5" x14ac:dyDescent="0.3">
      <c r="B25" s="3">
        <f t="shared" si="0"/>
        <v>16</v>
      </c>
      <c r="C25" s="1"/>
      <c r="D25" s="1"/>
      <c r="E25" s="2"/>
    </row>
    <row r="26" spans="2:5" x14ac:dyDescent="0.3">
      <c r="B26" s="3">
        <f t="shared" si="0"/>
        <v>17</v>
      </c>
      <c r="C26" s="1"/>
      <c r="D26" s="1"/>
      <c r="E26" s="2"/>
    </row>
    <row r="28" spans="2:5" x14ac:dyDescent="0.3">
      <c r="C28" s="11" t="s">
        <v>8</v>
      </c>
      <c r="D28" s="12"/>
      <c r="E28" s="1" t="s">
        <v>47</v>
      </c>
    </row>
  </sheetData>
  <mergeCells count="6">
    <mergeCell ref="H1:J1"/>
    <mergeCell ref="B2:E2"/>
    <mergeCell ref="D4:E4"/>
    <mergeCell ref="D6:E6"/>
    <mergeCell ref="D7:E7"/>
    <mergeCell ref="D5:E5"/>
  </mergeCells>
  <phoneticPr fontId="1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workbookViewId="0">
      <selection activeCell="H12" sqref="H12"/>
    </sheetView>
  </sheetViews>
  <sheetFormatPr defaultColWidth="8.88671875" defaultRowHeight="14.4" x14ac:dyDescent="0.3"/>
  <cols>
    <col min="1" max="1" width="8.88671875" style="6"/>
    <col min="2" max="2" width="12.21875" style="6" customWidth="1"/>
    <col min="3" max="3" width="16.21875" style="6" customWidth="1"/>
    <col min="4" max="4" width="25.88671875" style="6" customWidth="1"/>
    <col min="5" max="5" width="41.44140625" style="6" customWidth="1"/>
    <col min="6" max="8" width="8.88671875" style="6"/>
    <col min="9" max="9" width="26.77734375" style="6" customWidth="1"/>
    <col min="10" max="16384" width="8.88671875" style="6"/>
  </cols>
  <sheetData>
    <row r="1" spans="1:10" ht="15.6" x14ac:dyDescent="0.3">
      <c r="A1" s="4"/>
      <c r="B1" s="5" t="s">
        <v>3</v>
      </c>
      <c r="H1" s="24" t="s">
        <v>20</v>
      </c>
      <c r="I1" s="24"/>
      <c r="J1" s="24"/>
    </row>
    <row r="2" spans="1:10" x14ac:dyDescent="0.3">
      <c r="B2" s="26" t="s">
        <v>14</v>
      </c>
      <c r="C2" s="26"/>
      <c r="D2" s="26"/>
      <c r="E2" s="26"/>
      <c r="H2" s="3"/>
      <c r="I2" s="19" t="s">
        <v>27</v>
      </c>
      <c r="J2" s="17" t="s">
        <v>21</v>
      </c>
    </row>
    <row r="3" spans="1:10" x14ac:dyDescent="0.3">
      <c r="H3" s="17" t="s">
        <v>17</v>
      </c>
      <c r="I3" s="22" t="s">
        <v>30</v>
      </c>
      <c r="J3" s="17">
        <v>237</v>
      </c>
    </row>
    <row r="4" spans="1:10" x14ac:dyDescent="0.3">
      <c r="C4" s="16" t="s">
        <v>0</v>
      </c>
      <c r="D4" s="25" t="s">
        <v>13</v>
      </c>
      <c r="E4" s="25"/>
      <c r="H4" s="17" t="s">
        <v>18</v>
      </c>
      <c r="I4" s="22" t="s">
        <v>31</v>
      </c>
      <c r="J4" s="3">
        <v>237</v>
      </c>
    </row>
    <row r="5" spans="1:10" x14ac:dyDescent="0.3">
      <c r="C5" s="16" t="s">
        <v>9</v>
      </c>
      <c r="D5" s="27" t="s">
        <v>31</v>
      </c>
      <c r="E5" s="28"/>
      <c r="H5" s="17" t="s">
        <v>19</v>
      </c>
      <c r="I5" s="3"/>
      <c r="J5" s="3"/>
    </row>
    <row r="6" spans="1:10" x14ac:dyDescent="0.3">
      <c r="B6" s="8"/>
      <c r="C6" s="9" t="s">
        <v>2</v>
      </c>
      <c r="D6" s="23" t="s">
        <v>31</v>
      </c>
      <c r="E6" s="23"/>
    </row>
    <row r="7" spans="1:10" x14ac:dyDescent="0.3">
      <c r="C7" s="9" t="s">
        <v>1</v>
      </c>
      <c r="D7" s="23" t="s">
        <v>59</v>
      </c>
      <c r="E7" s="23"/>
    </row>
    <row r="9" spans="1:10" x14ac:dyDescent="0.3">
      <c r="B9" s="10" t="s">
        <v>4</v>
      </c>
      <c r="C9" s="10" t="s">
        <v>5</v>
      </c>
      <c r="D9" s="10" t="s">
        <v>6</v>
      </c>
      <c r="E9" s="10" t="s">
        <v>7</v>
      </c>
    </row>
    <row r="10" spans="1:10" ht="86.4" x14ac:dyDescent="0.3">
      <c r="B10" s="3">
        <v>1</v>
      </c>
      <c r="C10" s="1" t="s">
        <v>62</v>
      </c>
      <c r="D10" s="2" t="s">
        <v>70</v>
      </c>
      <c r="E10" s="2" t="s">
        <v>66</v>
      </c>
    </row>
    <row r="11" spans="1:10" ht="86.4" x14ac:dyDescent="0.3">
      <c r="B11" s="3">
        <f>B10+1</f>
        <v>2</v>
      </c>
      <c r="C11" s="1" t="s">
        <v>63</v>
      </c>
      <c r="D11" s="1" t="s">
        <v>71</v>
      </c>
      <c r="E11" s="2" t="s">
        <v>69</v>
      </c>
    </row>
    <row r="12" spans="1:10" ht="72" x14ac:dyDescent="0.3">
      <c r="B12" s="3">
        <f t="shared" ref="B12:B30" si="0">B11+1</f>
        <v>3</v>
      </c>
      <c r="C12" s="1" t="s">
        <v>64</v>
      </c>
      <c r="D12" s="1" t="s">
        <v>72</v>
      </c>
      <c r="E12" s="2" t="s">
        <v>67</v>
      </c>
    </row>
    <row r="13" spans="1:10" ht="57.6" x14ac:dyDescent="0.3">
      <c r="B13" s="3">
        <f t="shared" si="0"/>
        <v>4</v>
      </c>
      <c r="C13" s="1" t="s">
        <v>65</v>
      </c>
      <c r="D13" s="2" t="s">
        <v>70</v>
      </c>
      <c r="E13" s="2" t="s">
        <v>68</v>
      </c>
    </row>
    <row r="14" spans="1:10" x14ac:dyDescent="0.3">
      <c r="B14" s="3">
        <f t="shared" si="0"/>
        <v>5</v>
      </c>
      <c r="C14" s="1"/>
      <c r="D14" s="2"/>
      <c r="E14" s="2"/>
    </row>
    <row r="15" spans="1:10" x14ac:dyDescent="0.3">
      <c r="B15" s="3">
        <f t="shared" si="0"/>
        <v>6</v>
      </c>
      <c r="C15" s="1"/>
      <c r="D15" s="2"/>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2"/>
      <c r="E18" s="2"/>
    </row>
    <row r="19" spans="2:5" x14ac:dyDescent="0.3">
      <c r="B19" s="3">
        <f t="shared" si="0"/>
        <v>10</v>
      </c>
      <c r="C19" s="1"/>
      <c r="D19" s="1"/>
      <c r="E19" s="2"/>
    </row>
    <row r="20" spans="2:5" x14ac:dyDescent="0.3">
      <c r="B20" s="3">
        <f t="shared" si="0"/>
        <v>11</v>
      </c>
      <c r="C20" s="1"/>
      <c r="D20" s="2"/>
      <c r="E20" s="2"/>
    </row>
    <row r="21" spans="2:5" x14ac:dyDescent="0.3">
      <c r="B21" s="3">
        <f t="shared" si="0"/>
        <v>12</v>
      </c>
      <c r="C21" s="1"/>
      <c r="D21" s="1"/>
      <c r="E21" s="2"/>
    </row>
    <row r="22" spans="2:5" x14ac:dyDescent="0.3">
      <c r="B22" s="3">
        <f t="shared" si="0"/>
        <v>13</v>
      </c>
      <c r="C22" s="1"/>
      <c r="D22" s="2"/>
      <c r="E22" s="2"/>
    </row>
    <row r="23" spans="2:5" x14ac:dyDescent="0.3">
      <c r="B23" s="3">
        <f t="shared" si="0"/>
        <v>14</v>
      </c>
      <c r="C23" s="1"/>
      <c r="D23" s="2"/>
      <c r="E23" s="2"/>
    </row>
    <row r="24" spans="2:5" x14ac:dyDescent="0.3">
      <c r="B24" s="3">
        <f t="shared" si="0"/>
        <v>15</v>
      </c>
      <c r="C24" s="1"/>
      <c r="D24" s="2"/>
      <c r="E24" s="2"/>
    </row>
    <row r="25" spans="2:5" x14ac:dyDescent="0.3">
      <c r="B25" s="3">
        <f t="shared" si="0"/>
        <v>16</v>
      </c>
      <c r="C25" s="1"/>
      <c r="D25" s="2"/>
      <c r="E25" s="2"/>
    </row>
    <row r="26" spans="2:5" x14ac:dyDescent="0.3">
      <c r="B26" s="3">
        <f t="shared" si="0"/>
        <v>17</v>
      </c>
      <c r="C26" s="1"/>
      <c r="D26" s="1"/>
      <c r="E26" s="2"/>
    </row>
    <row r="27" spans="2:5" x14ac:dyDescent="0.3">
      <c r="B27" s="3">
        <f t="shared" si="0"/>
        <v>18</v>
      </c>
      <c r="C27" s="1"/>
      <c r="D27" s="2"/>
      <c r="E27" s="1"/>
    </row>
    <row r="28" spans="2:5" x14ac:dyDescent="0.3">
      <c r="B28" s="3">
        <f t="shared" si="0"/>
        <v>19</v>
      </c>
      <c r="C28" s="1"/>
      <c r="D28" s="2"/>
      <c r="E28" s="2"/>
    </row>
    <row r="29" spans="2:5" x14ac:dyDescent="0.3">
      <c r="B29" s="3">
        <f t="shared" si="0"/>
        <v>20</v>
      </c>
      <c r="C29" s="1"/>
      <c r="D29" s="2"/>
      <c r="E29" s="2"/>
    </row>
    <row r="30" spans="2:5" x14ac:dyDescent="0.3">
      <c r="B30" s="3">
        <f t="shared" si="0"/>
        <v>21</v>
      </c>
      <c r="C30" s="1"/>
      <c r="D30" s="2"/>
      <c r="E30" s="2"/>
    </row>
    <row r="32" spans="2:5" x14ac:dyDescent="0.3">
      <c r="C32" s="11" t="s">
        <v>8</v>
      </c>
      <c r="D32" s="12"/>
      <c r="E32" s="1" t="s">
        <v>47</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abSelected="1" workbookViewId="0">
      <selection activeCell="I14" sqref="I14"/>
    </sheetView>
  </sheetViews>
  <sheetFormatPr defaultColWidth="8.88671875" defaultRowHeight="14.4" x14ac:dyDescent="0.3"/>
  <cols>
    <col min="1" max="1" width="8.88671875" style="6"/>
    <col min="2" max="2" width="12.21875" style="6" customWidth="1"/>
    <col min="3" max="3" width="16.21875" style="6" customWidth="1"/>
    <col min="4" max="4" width="18" style="6" customWidth="1"/>
    <col min="5" max="5" width="23.88671875" style="6" customWidth="1"/>
    <col min="6" max="6" width="16.6640625" style="6" customWidth="1"/>
    <col min="7" max="8" width="8.88671875" style="6"/>
    <col min="9" max="9" width="26.77734375" style="6" customWidth="1"/>
    <col min="10" max="16384" width="8.88671875" style="6"/>
  </cols>
  <sheetData>
    <row r="1" spans="1:10" ht="15.6" x14ac:dyDescent="0.3">
      <c r="A1" s="4"/>
      <c r="B1" s="5" t="s">
        <v>3</v>
      </c>
      <c r="H1" s="24" t="s">
        <v>20</v>
      </c>
      <c r="I1" s="24"/>
      <c r="J1" s="24"/>
    </row>
    <row r="2" spans="1:10" x14ac:dyDescent="0.3">
      <c r="B2" s="26" t="s">
        <v>28</v>
      </c>
      <c r="C2" s="26"/>
      <c r="D2" s="26"/>
      <c r="E2" s="26"/>
      <c r="H2" s="3"/>
      <c r="I2" s="19" t="s">
        <v>27</v>
      </c>
      <c r="J2" s="17" t="s">
        <v>21</v>
      </c>
    </row>
    <row r="3" spans="1:10" x14ac:dyDescent="0.3">
      <c r="H3" s="17" t="s">
        <v>17</v>
      </c>
      <c r="I3" s="22" t="s">
        <v>30</v>
      </c>
      <c r="J3" s="17">
        <v>237</v>
      </c>
    </row>
    <row r="4" spans="1:10" x14ac:dyDescent="0.3">
      <c r="C4" s="16" t="s">
        <v>22</v>
      </c>
      <c r="D4" s="25"/>
      <c r="E4" s="25"/>
      <c r="H4" s="17" t="s">
        <v>18</v>
      </c>
      <c r="I4" s="22" t="s">
        <v>31</v>
      </c>
      <c r="J4" s="3">
        <v>237</v>
      </c>
    </row>
    <row r="5" spans="1:10" x14ac:dyDescent="0.3">
      <c r="C5" s="9" t="s">
        <v>2</v>
      </c>
      <c r="D5" s="23"/>
      <c r="E5" s="23"/>
      <c r="H5" s="17" t="s">
        <v>19</v>
      </c>
      <c r="I5" s="3"/>
      <c r="J5" s="3"/>
    </row>
    <row r="6" spans="1:10" x14ac:dyDescent="0.3">
      <c r="B6" s="8"/>
      <c r="C6" s="9" t="s">
        <v>1</v>
      </c>
      <c r="D6" s="23"/>
      <c r="E6" s="23"/>
      <c r="F6" s="20"/>
    </row>
    <row r="9" spans="1:10" x14ac:dyDescent="0.3">
      <c r="B9" s="10" t="s">
        <v>4</v>
      </c>
      <c r="C9" s="10" t="s">
        <v>25</v>
      </c>
      <c r="D9" s="10" t="s">
        <v>24</v>
      </c>
      <c r="E9" s="10" t="s">
        <v>23</v>
      </c>
      <c r="F9" s="10" t="s">
        <v>26</v>
      </c>
    </row>
    <row r="10" spans="1:10" x14ac:dyDescent="0.3">
      <c r="B10" s="3">
        <v>1</v>
      </c>
      <c r="C10" s="1"/>
      <c r="D10" s="2"/>
      <c r="E10" s="2"/>
      <c r="F10" s="2"/>
    </row>
    <row r="11" spans="1:10" x14ac:dyDescent="0.3">
      <c r="B11" s="3">
        <f>B10+1</f>
        <v>2</v>
      </c>
      <c r="C11" s="1"/>
      <c r="D11" s="1"/>
      <c r="E11" s="2"/>
      <c r="F11" s="2"/>
    </row>
    <row r="12" spans="1:10" x14ac:dyDescent="0.3">
      <c r="B12" s="3">
        <f t="shared" ref="B12:B30" si="0">B11+1</f>
        <v>3</v>
      </c>
      <c r="C12" s="1"/>
      <c r="D12" s="1"/>
      <c r="E12" s="2"/>
      <c r="F12" s="2"/>
    </row>
    <row r="13" spans="1:10" x14ac:dyDescent="0.3">
      <c r="B13" s="3">
        <f t="shared" si="0"/>
        <v>4</v>
      </c>
      <c r="C13" s="1"/>
      <c r="D13" s="2"/>
      <c r="E13" s="2"/>
      <c r="F13" s="2"/>
    </row>
    <row r="14" spans="1:10" x14ac:dyDescent="0.3">
      <c r="B14" s="3">
        <f t="shared" si="0"/>
        <v>5</v>
      </c>
      <c r="C14" s="1"/>
      <c r="D14" s="2"/>
      <c r="E14" s="2"/>
      <c r="F14" s="2"/>
    </row>
    <row r="15" spans="1:10" x14ac:dyDescent="0.3">
      <c r="B15" s="3">
        <f t="shared" si="0"/>
        <v>6</v>
      </c>
      <c r="C15" s="1"/>
      <c r="D15" s="2"/>
      <c r="E15" s="2"/>
      <c r="F15" s="2"/>
    </row>
    <row r="16" spans="1:10" x14ac:dyDescent="0.3">
      <c r="B16" s="3">
        <f t="shared" si="0"/>
        <v>7</v>
      </c>
      <c r="C16" s="1"/>
      <c r="D16" s="2"/>
      <c r="E16" s="2"/>
      <c r="F16" s="2"/>
    </row>
    <row r="17" spans="2:6" x14ac:dyDescent="0.3">
      <c r="B17" s="3">
        <f t="shared" si="0"/>
        <v>8</v>
      </c>
      <c r="C17" s="1"/>
      <c r="D17" s="2"/>
      <c r="E17" s="2"/>
      <c r="F17" s="2"/>
    </row>
    <row r="18" spans="2:6" x14ac:dyDescent="0.3">
      <c r="B18" s="3">
        <f t="shared" si="0"/>
        <v>9</v>
      </c>
      <c r="C18" s="1"/>
      <c r="D18" s="2"/>
      <c r="E18" s="2"/>
      <c r="F18" s="2"/>
    </row>
    <row r="19" spans="2:6" x14ac:dyDescent="0.3">
      <c r="B19" s="3">
        <f t="shared" si="0"/>
        <v>10</v>
      </c>
      <c r="C19" s="1"/>
      <c r="D19" s="1"/>
      <c r="E19" s="2"/>
      <c r="F19" s="2"/>
    </row>
    <row r="20" spans="2:6" x14ac:dyDescent="0.3">
      <c r="B20" s="3">
        <f t="shared" si="0"/>
        <v>11</v>
      </c>
      <c r="C20" s="1"/>
      <c r="D20" s="2"/>
      <c r="E20" s="2"/>
      <c r="F20" s="2"/>
    </row>
    <row r="21" spans="2:6" x14ac:dyDescent="0.3">
      <c r="B21" s="3">
        <f t="shared" si="0"/>
        <v>12</v>
      </c>
      <c r="C21" s="1"/>
      <c r="D21" s="1"/>
      <c r="E21" s="2"/>
      <c r="F21" s="2"/>
    </row>
    <row r="22" spans="2:6" x14ac:dyDescent="0.3">
      <c r="B22" s="3">
        <f t="shared" si="0"/>
        <v>13</v>
      </c>
      <c r="C22" s="1"/>
      <c r="D22" s="2"/>
      <c r="E22" s="2"/>
      <c r="F22" s="2"/>
    </row>
    <row r="23" spans="2:6" x14ac:dyDescent="0.3">
      <c r="B23" s="3">
        <f t="shared" si="0"/>
        <v>14</v>
      </c>
      <c r="C23" s="1"/>
      <c r="D23" s="2"/>
      <c r="E23" s="2"/>
      <c r="F23" s="2"/>
    </row>
    <row r="24" spans="2:6" x14ac:dyDescent="0.3">
      <c r="B24" s="3">
        <f t="shared" si="0"/>
        <v>15</v>
      </c>
      <c r="C24" s="1"/>
      <c r="D24" s="2"/>
      <c r="E24" s="2"/>
      <c r="F24" s="2"/>
    </row>
    <row r="25" spans="2:6" x14ac:dyDescent="0.3">
      <c r="B25" s="3">
        <f t="shared" si="0"/>
        <v>16</v>
      </c>
      <c r="C25" s="1"/>
      <c r="D25" s="2"/>
      <c r="E25" s="2"/>
      <c r="F25" s="2"/>
    </row>
    <row r="26" spans="2:6" x14ac:dyDescent="0.3">
      <c r="B26" s="3">
        <f t="shared" si="0"/>
        <v>17</v>
      </c>
      <c r="C26" s="1"/>
      <c r="D26" s="1"/>
      <c r="E26" s="2"/>
      <c r="F26" s="2"/>
    </row>
    <row r="27" spans="2:6" x14ac:dyDescent="0.3">
      <c r="B27" s="3">
        <f t="shared" si="0"/>
        <v>18</v>
      </c>
      <c r="C27" s="1"/>
      <c r="D27" s="2"/>
      <c r="E27" s="1"/>
      <c r="F27" s="1"/>
    </row>
    <row r="28" spans="2:6" x14ac:dyDescent="0.3">
      <c r="B28" s="3">
        <f t="shared" si="0"/>
        <v>19</v>
      </c>
      <c r="C28" s="1"/>
      <c r="D28" s="2"/>
      <c r="E28" s="2"/>
      <c r="F28" s="2"/>
    </row>
    <row r="29" spans="2:6" x14ac:dyDescent="0.3">
      <c r="B29" s="3">
        <f t="shared" si="0"/>
        <v>20</v>
      </c>
      <c r="C29" s="1"/>
      <c r="D29" s="2"/>
      <c r="E29" s="2"/>
      <c r="F29" s="2"/>
    </row>
    <row r="30" spans="2:6" x14ac:dyDescent="0.3">
      <c r="B30" s="3">
        <f t="shared" si="0"/>
        <v>21</v>
      </c>
      <c r="C30" s="1"/>
      <c r="D30" s="2"/>
      <c r="E30" s="2"/>
      <c r="F30" s="2"/>
    </row>
    <row r="32" spans="2:6" x14ac:dyDescent="0.3">
      <c r="C32" s="31" t="s">
        <v>29</v>
      </c>
      <c r="D32" s="32"/>
      <c r="E32" s="32"/>
      <c r="F32" s="18"/>
    </row>
    <row r="35" spans="6:6" x14ac:dyDescent="0.3">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ALEXANDRA-ISABELA TRIFAN</cp:lastModifiedBy>
  <dcterms:created xsi:type="dcterms:W3CDTF">2015-02-21T15:59:19Z</dcterms:created>
  <dcterms:modified xsi:type="dcterms:W3CDTF">2026-03-15T15:19:13Z</dcterms:modified>
</cp:coreProperties>
</file>